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AA4B4422-C483-49A1-90CB-F9AA7BEAC395}" xr6:coauthVersionLast="47" xr6:coauthVersionMax="47" xr10:uidLastSave="{00000000-0000-0000-0000-000000000000}"/>
  <bookViews>
    <workbookView xWindow="-108" yWindow="-108" windowWidth="23256" windowHeight="12456" xr2:uid="{A87CD95D-A139-44DC-8A06-5CCA392ED699}"/>
  </bookViews>
  <sheets>
    <sheet name="Dashboard" sheetId="4" r:id="rId1"/>
    <sheet name="KPI's" sheetId="3" r:id="rId2"/>
    <sheet name="Column Chart" sheetId="5" r:id="rId3"/>
    <sheet name="Bar Chart" sheetId="6" r:id="rId4"/>
    <sheet name="Line Chart" sheetId="7" r:id="rId5"/>
    <sheet name="Area Chart" sheetId="8" r:id="rId6"/>
    <sheet name="Pi Chart" sheetId="9" r:id="rId7"/>
    <sheet name="Dataset" sheetId="1" r:id="rId8"/>
  </sheets>
  <definedNames>
    <definedName name="_xlcn.WorksheetConnection_DatasetA1L20011" hidden="1">Dataset!$A$1:$L$2001</definedName>
  </definedNames>
  <calcPr calcId="191029"/>
  <pivotCaches>
    <pivotCache cacheId="99" r:id="rId9"/>
    <pivotCache cacheId="100" r:id="rId10"/>
    <pivotCache cacheId="101" r:id="rId11"/>
    <pivotCache cacheId="102" r:id="rId12"/>
    <pivotCache cacheId="106" r:id="rId13"/>
    <pivotCache cacheId="114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taset!$A$1:$L$2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" i="3" l="1"/>
  <c r="C9" i="3"/>
  <c r="B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1EB166-E770-4E7C-87DE-5D1CCC46C02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ECFC9A5-7F3D-4878-9D96-B70B8039CA52}" name="WorksheetConnection_Dataset!$A$1:$L$2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setA1L20011"/>
        </x15:connection>
      </ext>
    </extLst>
  </connection>
</connections>
</file>

<file path=xl/sharedStrings.xml><?xml version="1.0" encoding="utf-8"?>
<sst xmlns="http://schemas.openxmlformats.org/spreadsheetml/2006/main" count="14062" uniqueCount="2047">
  <si>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</si>
  <si>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</si>
  <si>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</si>
  <si>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</si>
  <si>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</si>
  <si>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</si>
  <si>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</si>
  <si>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</si>
  <si>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</si>
  <si>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</si>
  <si>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</si>
  <si>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</si>
  <si>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</si>
  <si>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</si>
  <si>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</si>
  <si>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</si>
  <si>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</si>
  <si>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</si>
  <si>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</si>
  <si>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</si>
  <si>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</si>
  <si>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</si>
  <si>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</si>
  <si>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</si>
  <si>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</si>
  <si>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</si>
  <si>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</si>
  <si>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</si>
  <si>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</si>
  <si>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</si>
  <si>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</si>
  <si>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</si>
  <si>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</si>
  <si>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</si>
  <si>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</si>
  <si>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</si>
  <si>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</si>
  <si>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</si>
  <si>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</si>
  <si>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</si>
  <si>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</si>
  <si>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</si>
  <si>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</si>
  <si>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</si>
  <si>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</si>
  <si>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</si>
  <si>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</si>
  <si>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</si>
  <si>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</si>
  <si>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</si>
  <si>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</si>
  <si>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</si>
  <si>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</si>
  <si>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</si>
  <si>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</si>
  <si>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</si>
  <si>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</si>
  <si>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</si>
  <si>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</si>
  <si>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</si>
  <si>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</si>
  <si>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</si>
  <si>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</si>
  <si>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</si>
  <si>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</si>
  <si>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</si>
  <si>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</si>
  <si>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</si>
  <si>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</si>
  <si>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</si>
  <si>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</si>
  <si>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</si>
  <si>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</si>
  <si>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</si>
  <si>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</si>
  <si>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</si>
  <si>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</si>
  <si>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</si>
  <si>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</si>
  <si>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</si>
  <si>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</si>
  <si>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</si>
  <si>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</si>
  <si>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</si>
  <si>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</si>
  <si>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</si>
  <si>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</si>
  <si>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</si>
  <si>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</si>
  <si>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</si>
  <si>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</si>
  <si>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</si>
  <si>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</si>
  <si>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</si>
  <si>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</si>
  <si>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</si>
  <si>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</si>
  <si>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</si>
  <si>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</si>
  <si>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</si>
  <si>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</si>
  <si>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</si>
  <si>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</si>
  <si>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</si>
  <si>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</si>
  <si>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</si>
  <si>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</si>
  <si>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</si>
  <si>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</si>
  <si>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</si>
  <si>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</si>
  <si>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</si>
  <si>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</si>
  <si>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</si>
  <si>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</si>
  <si>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</si>
  <si>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</si>
  <si>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</si>
  <si>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</si>
  <si>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</si>
  <si>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</si>
  <si>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</si>
  <si>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</si>
  <si>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</si>
  <si>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</si>
  <si>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</si>
  <si>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</si>
  <si>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</si>
  <si>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</si>
  <si>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</si>
  <si>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</si>
  <si>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</si>
  <si>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</si>
  <si>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</si>
  <si>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</si>
  <si>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</si>
  <si>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</si>
  <si>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</si>
  <si>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</si>
  <si>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</si>
  <si>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</si>
  <si>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</si>
  <si>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</si>
  <si>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</si>
  <si>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</si>
  <si>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</si>
  <si>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</si>
  <si>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</si>
  <si>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</si>
  <si>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</si>
  <si>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</si>
  <si>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</si>
  <si>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</si>
  <si>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</si>
  <si>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</si>
  <si>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</si>
  <si>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</si>
  <si>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</si>
  <si>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</si>
  <si>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</si>
  <si>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</si>
  <si>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</si>
  <si>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</si>
  <si>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</si>
  <si>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</si>
  <si>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</si>
  <si>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</si>
  <si>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</si>
  <si>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</si>
  <si>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</si>
  <si>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</si>
  <si>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</si>
  <si>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</si>
  <si>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</si>
  <si>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</si>
  <si>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</si>
  <si>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</si>
  <si>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</si>
  <si>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</si>
  <si>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</si>
  <si>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</si>
  <si>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</si>
  <si>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</si>
  <si>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</si>
  <si>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</si>
  <si>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</si>
  <si>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</si>
  <si>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</si>
  <si>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</si>
  <si>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</si>
  <si>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</si>
  <si>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</si>
  <si>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</si>
  <si>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</si>
  <si>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</si>
  <si>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</si>
  <si>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</si>
  <si>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</si>
  <si>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</si>
  <si>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</si>
  <si>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</si>
  <si>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</si>
  <si>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</si>
  <si>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</si>
  <si>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</si>
  <si>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</si>
  <si>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</si>
  <si>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</si>
  <si>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</si>
  <si>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</si>
  <si>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</si>
  <si>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</si>
  <si>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</si>
  <si>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</si>
  <si>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</si>
  <si>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</si>
  <si>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</si>
  <si>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</si>
  <si>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</si>
  <si>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</si>
  <si>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</si>
  <si>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</si>
  <si>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</si>
  <si>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</si>
  <si>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</si>
  <si>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</si>
  <si>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</si>
  <si>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</si>
  <si>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</si>
  <si>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</si>
  <si>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</si>
  <si>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</si>
  <si>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</si>
  <si>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</si>
  <si>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</si>
  <si>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</si>
  <si>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</si>
  <si>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</si>
  <si>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</si>
  <si>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</si>
  <si>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</si>
  <si>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</si>
  <si>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</si>
  <si>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</si>
  <si>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</si>
  <si>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</si>
  <si>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</si>
  <si>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</si>
  <si>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</si>
  <si>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</si>
  <si>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</si>
  <si>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</si>
  <si>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</si>
  <si>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</si>
  <si>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</si>
  <si>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</si>
  <si>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</si>
  <si>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</si>
  <si>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</si>
  <si>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</si>
  <si>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</si>
  <si>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</si>
  <si>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</si>
  <si>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</si>
  <si>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</si>
  <si>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</si>
  <si>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</si>
  <si>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</si>
  <si>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</si>
  <si>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</si>
  <si>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</si>
  <si>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</si>
  <si>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</si>
  <si>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</si>
  <si>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</si>
  <si>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</si>
  <si>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</si>
  <si>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</si>
  <si>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</si>
  <si>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</si>
  <si>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</si>
  <si>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</si>
  <si>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</si>
  <si>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</si>
  <si>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</si>
  <si>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</si>
  <si>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</si>
  <si>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</si>
  <si>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</si>
  <si>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</si>
  <si>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</si>
  <si>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</si>
  <si>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</si>
  <si>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</si>
  <si>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</si>
  <si>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</si>
  <si>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</si>
  <si>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</si>
  <si>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</si>
  <si>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</si>
  <si>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</si>
  <si>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</si>
  <si>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</si>
  <si>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</si>
  <si>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</si>
  <si>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</si>
  <si>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</si>
  <si>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</si>
  <si>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</si>
  <si>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</si>
  <si>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</si>
  <si>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</si>
  <si>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</si>
  <si>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</si>
  <si>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</si>
  <si>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</si>
  <si>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</si>
  <si>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</si>
  <si>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</si>
  <si>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</si>
  <si>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</si>
  <si>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</si>
  <si>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</si>
  <si>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</si>
  <si>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</si>
  <si>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</si>
  <si>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</si>
  <si>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</si>
  <si>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</si>
  <si>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</si>
  <si>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</si>
  <si>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</si>
  <si>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</si>
  <si>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</si>
  <si>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</si>
  <si>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</si>
  <si>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</si>
  <si>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</si>
  <si>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</si>
  <si>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</si>
  <si>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</si>
  <si>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</si>
  <si>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</si>
  <si>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</si>
  <si>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</si>
  <si>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</si>
  <si>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</si>
  <si>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</si>
  <si>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</si>
  <si>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</si>
  <si>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</si>
  <si>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</si>
  <si>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</si>
  <si>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</si>
  <si>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</si>
  <si>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</si>
  <si>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</si>
  <si>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</si>
  <si>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</si>
  <si>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</si>
  <si>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</si>
  <si>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</si>
  <si>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</si>
  <si>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</si>
  <si>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</si>
  <si>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</si>
  <si>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</si>
  <si>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</si>
  <si>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</si>
  <si>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</si>
  <si>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</si>
  <si>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</si>
  <si>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</si>
  <si>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</si>
  <si>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</si>
  <si>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</si>
  <si>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</si>
  <si>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</si>
  <si>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</si>
  <si>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</si>
  <si>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</si>
  <si>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</si>
  <si>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</si>
  <si>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</si>
  <si>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</si>
  <si>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</si>
  <si>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</si>
  <si>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</si>
  <si>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</si>
  <si>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</si>
  <si>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</si>
  <si>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</si>
  <si>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</si>
  <si>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</si>
  <si>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</si>
  <si>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</si>
  <si>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</si>
  <si>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</si>
  <si>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</si>
  <si>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</si>
  <si>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</si>
  <si>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</si>
  <si>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</si>
  <si>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</si>
  <si>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</si>
  <si>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</si>
  <si>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</si>
  <si>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</si>
  <si>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</si>
  <si>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</si>
  <si>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</si>
  <si>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</si>
  <si>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</si>
  <si>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</si>
  <si>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</si>
  <si>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</si>
  <si>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</si>
  <si>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</si>
  <si>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</si>
  <si>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</si>
  <si>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</si>
  <si>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</si>
  <si>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</si>
  <si>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</si>
  <si>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</si>
  <si>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</si>
  <si>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</si>
  <si>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</si>
  <si>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</si>
  <si>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</si>
  <si>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</si>
  <si>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</si>
  <si>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</si>
  <si>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</si>
  <si>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</si>
  <si>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</si>
  <si>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</si>
  <si>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</si>
  <si>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</si>
  <si>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</si>
  <si>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</si>
  <si>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</si>
  <si>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</si>
  <si>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</si>
  <si>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</si>
  <si>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</si>
  <si>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</si>
  <si>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</si>
  <si>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</si>
  <si>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</si>
  <si>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</si>
  <si>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</si>
  <si>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</si>
  <si>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</si>
  <si>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</si>
  <si>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</si>
  <si>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</si>
  <si>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</si>
  <si>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</si>
  <si>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</si>
  <si>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</si>
  <si>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</si>
  <si>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</si>
  <si>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</si>
  <si>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</si>
  <si>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</si>
  <si>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</si>
  <si>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</si>
  <si>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</si>
  <si>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</si>
  <si>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</si>
  <si>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</si>
  <si>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</si>
  <si>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</si>
  <si>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</si>
  <si>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</si>
  <si>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</si>
  <si>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</si>
  <si>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</si>
  <si>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</si>
  <si>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</si>
  <si>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</si>
  <si>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</si>
  <si>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</si>
  <si>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</si>
  <si>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</si>
  <si>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</si>
  <si>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</si>
  <si>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</si>
  <si>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</si>
  <si>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</si>
  <si>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</si>
  <si>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</si>
  <si>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</si>
  <si>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</si>
  <si>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</si>
  <si>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</si>
  <si>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</si>
  <si>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</si>
  <si>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</si>
  <si>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</si>
  <si>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</si>
  <si>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</si>
  <si>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</si>
  <si>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</si>
  <si>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</si>
  <si>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</si>
  <si>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</si>
  <si>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</si>
  <si>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</si>
  <si>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</si>
  <si>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</si>
  <si>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</si>
  <si>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</si>
  <si>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</si>
  <si>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</si>
  <si>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</si>
  <si>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</si>
  <si>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</si>
  <si>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</si>
  <si>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</si>
  <si>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</si>
  <si>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</si>
  <si>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</si>
  <si>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</si>
  <si>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</si>
  <si>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</si>
  <si>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</si>
  <si>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</si>
  <si>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</si>
  <si>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</si>
  <si>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</si>
  <si>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</si>
  <si>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</si>
  <si>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</si>
  <si>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</si>
  <si>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</si>
  <si>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</si>
  <si>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</si>
  <si>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</si>
  <si>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</si>
  <si>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</si>
  <si>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</si>
  <si>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</si>
  <si>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</si>
  <si>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</si>
  <si>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</si>
  <si>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</si>
  <si>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</si>
  <si>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</si>
  <si>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</si>
  <si>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</si>
  <si>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</si>
  <si>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</si>
  <si>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</si>
  <si>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</si>
  <si>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</si>
  <si>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</si>
  <si>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</si>
  <si>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</si>
  <si>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</si>
  <si>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</si>
  <si>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</si>
  <si>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</si>
  <si>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</si>
  <si>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</si>
  <si>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</si>
  <si>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</si>
  <si>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</si>
  <si>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</si>
  <si>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</si>
  <si>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</si>
  <si>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</si>
  <si>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</si>
  <si>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</si>
  <si>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</si>
  <si>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</si>
  <si>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</si>
  <si>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</si>
  <si>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</si>
  <si>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</si>
  <si>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</si>
  <si>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</si>
  <si>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</si>
  <si>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</si>
  <si>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</si>
  <si>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</si>
  <si>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</si>
  <si>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</si>
  <si>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</si>
  <si>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</si>
  <si>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</si>
  <si>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</si>
  <si>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</si>
  <si>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</si>
  <si>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</si>
  <si>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</si>
  <si>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</si>
  <si>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</si>
  <si>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</si>
  <si>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</si>
  <si>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</si>
  <si>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</si>
  <si>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</si>
  <si>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</si>
  <si>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</si>
  <si>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</si>
  <si>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</si>
  <si>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</si>
  <si>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</si>
  <si>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</si>
  <si>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</si>
  <si>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</si>
  <si>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</si>
  <si>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</si>
  <si>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</si>
  <si>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</si>
  <si>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</si>
  <si>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</si>
  <si>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</si>
  <si>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</si>
  <si>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</si>
  <si>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</si>
  <si>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</si>
  <si>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</si>
  <si>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</si>
  <si>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</si>
  <si>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</si>
  <si>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</si>
  <si>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</si>
  <si>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</si>
  <si>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</si>
  <si>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</si>
  <si>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</si>
  <si>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</si>
  <si>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</si>
  <si>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</si>
  <si>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</si>
  <si>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</si>
  <si>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</si>
  <si>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</si>
  <si>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</si>
  <si>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</si>
  <si>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</si>
  <si>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</si>
  <si>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</si>
  <si>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</si>
  <si>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</si>
  <si>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</si>
  <si>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</si>
  <si>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</si>
  <si>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</si>
  <si>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</si>
  <si>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</si>
  <si>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</si>
  <si>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</si>
  <si>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</si>
  <si>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</si>
  <si>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</si>
  <si>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</si>
  <si>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</si>
  <si>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</si>
  <si>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</si>
  <si>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</si>
  <si>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</si>
  <si>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</si>
  <si>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</si>
  <si>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</si>
  <si>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</si>
  <si>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</si>
  <si>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</si>
  <si>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</si>
  <si>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</si>
  <si>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</si>
  <si>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</si>
  <si>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</si>
  <si>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</si>
  <si>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</si>
  <si>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</si>
  <si>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</si>
  <si>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</si>
  <si>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</si>
  <si>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</si>
  <si>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</si>
  <si>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</si>
  <si>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</si>
  <si>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</si>
  <si>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</si>
  <si>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</si>
  <si>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</si>
  <si>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</si>
  <si>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</si>
  <si>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</si>
  <si>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</si>
  <si>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</si>
  <si>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</si>
  <si>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</si>
  <si>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</si>
  <si>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</si>
  <si>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</si>
  <si>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</si>
  <si>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</si>
  <si>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</si>
  <si>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</si>
  <si>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</si>
  <si>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</si>
  <si>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</si>
  <si>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</si>
  <si>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</si>
  <si>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</si>
  <si>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</si>
  <si>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</si>
  <si>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</si>
  <si>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</si>
  <si>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</si>
  <si>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</si>
  <si>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</si>
  <si>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</si>
  <si>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</si>
  <si>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</si>
  <si>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</si>
  <si>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</si>
  <si>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</si>
  <si>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</si>
  <si>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</si>
  <si>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</si>
  <si>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</si>
  <si>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</si>
  <si>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</si>
  <si>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</si>
  <si>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</si>
  <si>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</si>
  <si>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</si>
  <si>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</si>
  <si>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</si>
  <si>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</si>
  <si>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</si>
  <si>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</si>
  <si>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</si>
  <si>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</si>
  <si>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</si>
  <si>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</si>
  <si>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</si>
  <si>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</si>
  <si>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</si>
  <si>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</si>
  <si>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</si>
  <si>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</si>
  <si>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</si>
  <si>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</si>
  <si>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</si>
  <si>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</si>
  <si>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</si>
  <si>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</si>
  <si>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</si>
  <si>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</si>
  <si>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</si>
  <si>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</si>
  <si>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</si>
  <si>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</si>
  <si>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</si>
  <si>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</si>
  <si>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</si>
  <si>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</si>
  <si>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</si>
  <si>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</si>
  <si>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</si>
  <si>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</si>
  <si>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</si>
  <si>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</si>
  <si>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</si>
  <si>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</si>
  <si>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</si>
  <si>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</si>
  <si>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</si>
  <si>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</si>
  <si>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</si>
  <si>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</si>
  <si>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</si>
  <si>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</si>
  <si>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</si>
  <si>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</si>
  <si>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</si>
  <si>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</si>
  <si>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</si>
  <si>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</si>
  <si>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</si>
  <si>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</si>
  <si>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</si>
  <si>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</si>
  <si>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</si>
  <si>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</si>
  <si>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</si>
  <si>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</si>
  <si>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</si>
  <si>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</si>
  <si>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</si>
  <si>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</si>
  <si>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</si>
  <si>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</si>
  <si>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</si>
  <si>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</si>
  <si>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</si>
  <si>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</si>
  <si>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</si>
  <si>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</si>
  <si>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</si>
  <si>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</si>
  <si>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</si>
  <si>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</si>
  <si>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</si>
  <si>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</si>
  <si>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</si>
  <si>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</si>
  <si>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</si>
  <si>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</si>
  <si>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</si>
  <si>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</si>
  <si>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</si>
  <si>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</si>
  <si>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</si>
  <si>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</si>
  <si>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</si>
  <si>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</si>
  <si>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</si>
  <si>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</si>
  <si>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</si>
  <si>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</si>
  <si>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</si>
  <si>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</si>
  <si>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</si>
  <si>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</si>
  <si>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</si>
  <si>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</si>
  <si>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</si>
  <si>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</si>
  <si>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</si>
  <si>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</si>
  <si>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</si>
  <si>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</si>
  <si>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</si>
  <si>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</si>
  <si>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</si>
  <si>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</si>
  <si>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</si>
  <si>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</si>
  <si>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</si>
  <si>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</si>
  <si>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</si>
  <si>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</si>
  <si>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</si>
  <si>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</si>
  <si>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</si>
  <si>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</si>
  <si>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</si>
  <si>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</si>
  <si>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</si>
  <si>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</si>
  <si>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</si>
  <si>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</si>
  <si>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</si>
  <si>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</si>
  <si>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</si>
  <si>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</si>
  <si>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</si>
  <si>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</si>
  <si>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</si>
  <si>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</si>
  <si>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</si>
  <si>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</si>
  <si>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</si>
  <si>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</si>
  <si>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</si>
  <si>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</si>
  <si>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</si>
  <si>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</si>
  <si>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</si>
  <si>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</si>
  <si>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</si>
  <si>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</si>
  <si>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</si>
  <si>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</si>
  <si>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</si>
  <si>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</si>
  <si>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</si>
  <si>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</si>
  <si>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</si>
  <si>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</si>
  <si>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</si>
  <si>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</si>
  <si>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</si>
  <si>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</si>
  <si>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</si>
  <si>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</si>
  <si>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</si>
  <si>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</si>
  <si>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</si>
  <si>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</si>
  <si>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</si>
  <si>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</si>
  <si>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</si>
  <si>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</si>
  <si>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</si>
  <si>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</si>
  <si>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</si>
  <si>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</si>
  <si>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</si>
  <si>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</si>
  <si>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</si>
  <si>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</si>
  <si>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</si>
  <si>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</si>
  <si>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</si>
  <si>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</si>
  <si>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</si>
  <si>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</si>
  <si>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</si>
  <si>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</si>
  <si>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</si>
  <si>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</si>
  <si>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</si>
  <si>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</si>
  <si>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</si>
  <si>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</si>
  <si>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</si>
  <si>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</si>
  <si>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</si>
  <si>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</si>
  <si>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</si>
  <si>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</si>
  <si>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</si>
  <si>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</si>
  <si>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</si>
  <si>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</si>
  <si>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</si>
  <si>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</si>
  <si>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</si>
  <si>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</si>
  <si>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</si>
  <si>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</si>
  <si>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</si>
  <si>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</si>
  <si>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</si>
  <si>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</si>
  <si>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</si>
  <si>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</si>
  <si>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</si>
  <si>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</si>
  <si>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</si>
  <si>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</si>
  <si>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</si>
  <si>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</si>
  <si>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</si>
  <si>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</si>
  <si>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</si>
  <si>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</si>
  <si>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</si>
  <si>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</si>
  <si>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</si>
  <si>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</si>
  <si>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</si>
  <si>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</si>
  <si>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</si>
  <si>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</si>
  <si>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</si>
  <si>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</si>
  <si>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</si>
  <si>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</si>
  <si>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</si>
  <si>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</si>
  <si>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</si>
  <si>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</si>
  <si>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</si>
  <si>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</si>
  <si>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</si>
  <si>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</si>
  <si>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</si>
  <si>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</si>
  <si>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</si>
  <si>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</si>
  <si>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</si>
  <si>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</si>
  <si>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</si>
  <si>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</si>
  <si>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</si>
  <si>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</si>
  <si>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</si>
  <si>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</si>
  <si>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</si>
  <si>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</si>
  <si>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</si>
  <si>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</si>
  <si>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</si>
  <si>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</si>
  <si>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</si>
  <si>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</si>
  <si>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</si>
  <si>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</si>
  <si>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</si>
  <si>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</si>
  <si>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</si>
  <si>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</si>
  <si>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</si>
  <si>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</si>
  <si>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</si>
  <si>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</si>
  <si>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</si>
  <si>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</si>
  <si>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</si>
  <si>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</si>
  <si>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</si>
  <si>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</si>
  <si>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</si>
  <si>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</si>
  <si>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</si>
  <si>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</si>
  <si>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</si>
  <si>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</si>
  <si>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</si>
  <si>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</si>
  <si>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</si>
  <si>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</si>
  <si>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</si>
  <si>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</si>
  <si>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</si>
  <si>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</si>
  <si>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</si>
  <si>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</si>
  <si>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</si>
  <si>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</si>
  <si>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</si>
  <si>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</si>
  <si>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</si>
  <si>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</si>
  <si>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</si>
  <si>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</si>
  <si>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</si>
  <si>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</si>
  <si>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</si>
  <si>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</si>
  <si>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</si>
  <si>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</si>
  <si>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</si>
  <si>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</si>
  <si>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</si>
  <si>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</si>
  <si>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</si>
  <si>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</si>
  <si>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</si>
  <si>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</si>
  <si>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</si>
  <si>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</si>
  <si>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</si>
  <si>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</si>
  <si>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</si>
  <si>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</si>
  <si>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</si>
  <si>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</si>
  <si>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</si>
  <si>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</si>
  <si>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</si>
  <si>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</si>
  <si>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</si>
  <si>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</si>
  <si>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</si>
  <si>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</si>
  <si>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</si>
  <si>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</si>
  <si>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</si>
  <si>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</si>
  <si>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</si>
  <si>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</si>
  <si>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</si>
  <si>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</si>
  <si>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</si>
  <si>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</si>
  <si>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</si>
  <si>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</si>
  <si>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</si>
  <si>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</si>
  <si>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</si>
  <si>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</si>
  <si>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</si>
  <si>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</si>
  <si>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</si>
  <si>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</si>
  <si>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</si>
  <si>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</si>
  <si>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</si>
  <si>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</si>
  <si>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</si>
  <si>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</si>
  <si>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</si>
  <si>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</si>
  <si>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</si>
  <si>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</si>
  <si>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</si>
  <si>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</si>
  <si>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</si>
  <si>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</si>
  <si>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</si>
  <si>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</si>
  <si>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</si>
  <si>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</si>
  <si>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</si>
  <si>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</si>
  <si>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</si>
  <si>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</si>
  <si>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</si>
  <si>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</si>
  <si>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</si>
  <si>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</si>
  <si>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</si>
  <si>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</si>
  <si>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</si>
  <si>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</si>
  <si>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</si>
  <si>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</si>
  <si>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</si>
  <si>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</si>
  <si>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</si>
  <si>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</si>
  <si>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</si>
  <si>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</si>
  <si>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</si>
  <si>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</si>
  <si>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</si>
  <si>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</si>
  <si>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</si>
  <si>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</si>
  <si>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</si>
  <si>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</si>
  <si>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</si>
  <si>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</si>
  <si>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</si>
  <si>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</si>
  <si>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</si>
  <si>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</si>
  <si>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</si>
  <si>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</si>
  <si>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</si>
  <si>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</si>
  <si>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</si>
  <si>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</si>
  <si>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</si>
  <si>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</si>
  <si>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</si>
  <si>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</si>
  <si>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</si>
  <si>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</si>
  <si>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</si>
  <si>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</si>
  <si>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</si>
  <si>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</si>
  <si>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</si>
  <si>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</si>
  <si>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</si>
  <si>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</si>
  <si>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</si>
  <si>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</si>
  <si>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</si>
  <si>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</si>
  <si>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</si>
  <si>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</si>
  <si>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</si>
  <si>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</si>
  <si>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</si>
  <si>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</si>
  <si>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</si>
  <si>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</si>
  <si>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</si>
  <si>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</si>
  <si>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</si>
  <si>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</si>
  <si>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</si>
  <si>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</si>
  <si>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</si>
  <si>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</si>
  <si>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</si>
  <si>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</si>
  <si>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</si>
  <si>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</si>
  <si>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</si>
  <si>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</si>
  <si>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</si>
  <si>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</si>
  <si>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</si>
  <si>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</si>
  <si>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</si>
  <si>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</si>
  <si>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</si>
  <si>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</si>
  <si>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</si>
  <si>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</si>
  <si>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</si>
  <si>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</si>
  <si>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</si>
  <si>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</si>
  <si>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</si>
  <si>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</si>
  <si>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</si>
  <si>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</si>
  <si>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</si>
  <si>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</si>
  <si>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</si>
  <si>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</si>
  <si>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</si>
  <si>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</si>
  <si>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</si>
  <si>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</si>
  <si>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</si>
  <si>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</si>
  <si>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</si>
  <si>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</si>
  <si>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</si>
  <si>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</si>
  <si>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</si>
  <si>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</si>
  <si>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</si>
  <si>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</si>
  <si>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</si>
  <si>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</si>
  <si>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</si>
  <si>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</si>
  <si>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</si>
  <si>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</si>
  <si>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</si>
  <si>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</si>
  <si>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</si>
  <si>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</si>
  <si>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</si>
  <si>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</si>
  <si>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</si>
  <si>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</si>
  <si>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</si>
  <si>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</si>
  <si>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</si>
  <si>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</si>
  <si>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</si>
  <si>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</si>
  <si>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</si>
  <si>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</si>
  <si>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</si>
  <si>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</si>
  <si>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</si>
  <si>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</si>
  <si>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</si>
  <si>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</si>
  <si>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</si>
  <si>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</si>
  <si>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</si>
  <si>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</si>
  <si>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</si>
  <si>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</si>
  <si>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</si>
  <si>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</si>
  <si>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</si>
  <si>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</si>
  <si>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</si>
  <si>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</si>
  <si>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</si>
  <si>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</si>
  <si>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</si>
  <si>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</si>
  <si>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</si>
  <si>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</si>
  <si>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</si>
  <si>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</si>
  <si>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</si>
  <si>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</si>
  <si>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</si>
  <si>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</si>
  <si>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</si>
  <si>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</si>
  <si>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</si>
  <si>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</si>
  <si>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</si>
  <si>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</si>
  <si>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</si>
  <si>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</si>
  <si>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</si>
  <si>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</si>
  <si>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</si>
  <si>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</si>
  <si>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</si>
  <si>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</si>
  <si>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</si>
  <si>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</si>
  <si>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</si>
  <si>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</si>
  <si>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</si>
  <si>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</si>
  <si>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</si>
  <si>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</si>
  <si>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</si>
  <si>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</si>
  <si>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</si>
  <si>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</si>
  <si>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</si>
  <si>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</si>
  <si>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</si>
  <si>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</si>
  <si>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</si>
  <si>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</si>
  <si>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</si>
  <si>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</si>
  <si>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</si>
  <si>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</si>
  <si>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</si>
  <si>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</si>
  <si>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</si>
  <si>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</si>
  <si>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</si>
  <si>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</si>
  <si>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</si>
  <si>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</si>
  <si>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</si>
  <si>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</si>
  <si>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</si>
  <si>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</si>
  <si>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</si>
  <si>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</si>
  <si>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</si>
  <si>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</si>
  <si>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</si>
  <si>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</si>
  <si>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</si>
  <si>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</si>
  <si>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</si>
  <si>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</si>
  <si>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</si>
  <si>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</si>
  <si>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</si>
  <si>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</si>
  <si>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</si>
  <si>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</si>
  <si>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</si>
  <si>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</si>
  <si>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</si>
  <si>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</si>
  <si>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</si>
  <si>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</si>
  <si>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</si>
  <si>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</si>
  <si>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</si>
  <si>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</si>
  <si>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</si>
  <si>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</si>
  <si>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</si>
  <si>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</si>
  <si>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</si>
  <si>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</si>
  <si>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</si>
  <si>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</si>
  <si>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</si>
  <si>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</si>
  <si>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</si>
  <si>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</si>
  <si>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</si>
  <si>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</si>
  <si>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</si>
  <si>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</si>
  <si>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</si>
  <si>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</si>
  <si>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</si>
  <si>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</si>
  <si>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</si>
  <si>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</si>
  <si>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</si>
  <si>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</si>
  <si>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</si>
  <si>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</si>
  <si>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</si>
  <si>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</si>
  <si>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</si>
  <si>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</si>
  <si>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</si>
  <si>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</si>
  <si>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</si>
  <si>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</si>
  <si>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</si>
  <si>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</si>
  <si>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</si>
  <si>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</si>
  <si>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</si>
  <si>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</si>
  <si>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</si>
  <si>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</si>
  <si>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</si>
  <si>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</si>
  <si>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</si>
  <si>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</si>
  <si>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</si>
  <si>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</si>
  <si>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</si>
  <si>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</si>
  <si>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</si>
  <si>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</si>
  <si>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</si>
  <si>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</si>
  <si>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</si>
  <si>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</si>
  <si>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</si>
  <si>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</si>
  <si>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</si>
  <si>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</si>
  <si>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</si>
  <si>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</si>
  <si>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</si>
  <si>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</si>
  <si>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</si>
  <si>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</si>
  <si>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</si>
  <si>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</si>
  <si>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</si>
  <si>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</si>
  <si>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</si>
  <si>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</si>
  <si>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</si>
  <si>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</si>
  <si>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</si>
  <si>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</si>
  <si>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</si>
  <si>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</si>
  <si>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</si>
  <si>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</si>
  <si>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</si>
  <si>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</si>
  <si>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</si>
  <si>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</si>
  <si>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</si>
  <si>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</si>
  <si>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</si>
  <si>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</si>
  <si>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</si>
  <si>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</si>
  <si>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</si>
  <si>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</si>
  <si>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</si>
  <si>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</si>
  <si>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</si>
  <si>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</si>
  <si>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</si>
  <si>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</si>
  <si>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</si>
  <si>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</si>
  <si>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</si>
  <si>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</si>
  <si>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</si>
  <si>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</si>
  <si>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</si>
  <si>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</si>
  <si>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</si>
  <si>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</si>
  <si>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</si>
  <si>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</si>
  <si>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</si>
  <si>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</si>
  <si>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</si>
  <si>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</si>
  <si>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</si>
  <si>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</si>
  <si>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</si>
  <si>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</si>
  <si>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</si>
  <si>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</si>
  <si>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</si>
  <si>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</si>
  <si>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</si>
  <si>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</si>
  <si>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</si>
  <si>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</si>
  <si>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</si>
  <si>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</si>
  <si>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</si>
  <si>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</si>
  <si>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</si>
  <si>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</si>
  <si>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</si>
  <si>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</si>
  <si>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</si>
  <si>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</si>
  <si>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</si>
  <si>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</si>
  <si>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</si>
  <si>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</si>
  <si>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</si>
  <si>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</si>
  <si>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</si>
  <si>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</si>
  <si>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</si>
  <si>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</si>
  <si>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</si>
  <si>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</si>
  <si>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</si>
  <si>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</si>
  <si>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</si>
  <si>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</si>
  <si>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</si>
  <si>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</si>
  <si>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</si>
  <si>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</si>
  <si>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</si>
  <si>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</si>
  <si>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</si>
  <si>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</si>
  <si>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</si>
  <si>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</si>
  <si>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</si>
  <si>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</si>
  <si>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</si>
  <si>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</si>
  <si>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</si>
  <si>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</si>
  <si>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</si>
  <si>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</si>
  <si>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</si>
  <si>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</si>
  <si>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</si>
  <si>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</si>
  <si>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</si>
  <si>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</si>
  <si>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</si>
  <si>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</si>
  <si>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</si>
  <si>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</si>
  <si>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</si>
  <si>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</si>
  <si>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</si>
  <si>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</si>
  <si>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</si>
  <si>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</si>
  <si>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</si>
  <si>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</si>
  <si>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</si>
  <si>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</si>
  <si>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</si>
  <si>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</si>
  <si>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</si>
  <si>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</si>
  <si>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</si>
  <si>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</si>
  <si>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</si>
  <si>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</si>
  <si>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</si>
  <si>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</si>
  <si>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</si>
  <si>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</si>
  <si>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</si>
  <si>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</si>
  <si>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</si>
  <si>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</si>
  <si>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</si>
  <si>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</si>
  <si>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</si>
  <si>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</si>
  <si>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</si>
  <si>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</si>
  <si>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</si>
  <si>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</si>
  <si>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</si>
  <si>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</si>
  <si>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</si>
  <si>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</si>
  <si>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</si>
  <si>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</si>
  <si>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</si>
  <si>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</si>
  <si>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</si>
  <si>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</si>
  <si>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</si>
  <si>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</si>
  <si>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</si>
  <si>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</si>
  <si>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</si>
  <si>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</si>
  <si>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</si>
  <si>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</si>
  <si>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</si>
  <si>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</si>
  <si>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</si>
  <si>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</si>
  <si>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</si>
  <si>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</si>
  <si>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</si>
  <si>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</si>
  <si>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</si>
  <si>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</si>
  <si>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</si>
  <si>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</si>
  <si>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</si>
  <si>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</si>
  <si>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</si>
  <si>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</si>
  <si>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</si>
  <si>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</si>
  <si>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</si>
  <si>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</si>
  <si>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</si>
  <si>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</si>
  <si>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</si>
  <si>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</si>
  <si>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</si>
  <si>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</si>
  <si>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</si>
  <si>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</si>
  <si>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</si>
  <si>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</si>
  <si>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</si>
  <si>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</si>
  <si>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</si>
  <si>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</si>
  <si>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</si>
  <si>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</si>
  <si>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</si>
  <si>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</si>
  <si>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</si>
  <si>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</si>
  <si>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</si>
  <si>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</si>
  <si>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</si>
  <si>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</si>
  <si>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</si>
  <si>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</si>
  <si>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</si>
  <si>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</si>
  <si>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</si>
  <si>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</si>
  <si>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</si>
  <si>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</si>
  <si>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</si>
  <si>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</si>
  <si>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</si>
  <si>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</si>
  <si>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</si>
  <si>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</si>
  <si>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</si>
  <si>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</si>
  <si>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</si>
  <si>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</si>
  <si>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</si>
  <si>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</si>
  <si>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</si>
  <si>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</si>
  <si>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</si>
  <si>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</si>
  <si>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</si>
  <si>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</si>
  <si>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</si>
  <si>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</si>
  <si>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</si>
  <si>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</si>
  <si>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</si>
  <si>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</si>
  <si>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</si>
  <si>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</si>
  <si>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</si>
  <si>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</si>
  <si>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</si>
  <si>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</si>
  <si>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</si>
  <si>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</si>
  <si>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</si>
  <si>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</si>
  <si>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</si>
  <si>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</si>
  <si>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</si>
  <si>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</si>
  <si>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</si>
  <si>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</si>
  <si>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</si>
  <si>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</si>
  <si>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</si>
  <si>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</si>
  <si>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</si>
  <si>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</si>
  <si>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</si>
  <si>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</si>
  <si>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</si>
  <si>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</si>
  <si>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</si>
  <si>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</si>
  <si>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</si>
  <si>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</si>
  <si>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</si>
  <si>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</si>
  <si>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</si>
  <si>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</si>
  <si>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</si>
  <si>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</si>
  <si>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</si>
  <si>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</si>
  <si>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</si>
  <si>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</si>
  <si>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</si>
  <si>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</si>
  <si>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</si>
  <si>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</si>
  <si>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</si>
  <si>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</si>
  <si>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</si>
  <si>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</si>
  <si>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</si>
  <si>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</si>
  <si>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</si>
  <si>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</si>
  <si>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</si>
  <si>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</si>
  <si>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</si>
  <si>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</si>
  <si>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</si>
  <si>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</si>
  <si>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</si>
  <si>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</si>
  <si>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</si>
  <si>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</si>
  <si>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</si>
  <si>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</si>
  <si>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</si>
  <si>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</si>
  <si>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</si>
  <si>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</si>
  <si>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</si>
  <si>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</si>
  <si>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</si>
  <si>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</si>
  <si>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</si>
  <si>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</si>
  <si>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</si>
  <si>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</si>
  <si>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</si>
  <si>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</si>
  <si>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</si>
  <si>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</si>
  <si>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</si>
  <si>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</si>
  <si>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</si>
  <si>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</si>
  <si>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</si>
  <si>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</si>
  <si>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</si>
  <si>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</si>
  <si>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</si>
  <si>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</si>
  <si>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</si>
  <si>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</si>
  <si>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</si>
  <si>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</si>
  <si>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</si>
  <si>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</si>
  <si>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</si>
  <si>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</si>
  <si>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</si>
  <si>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</si>
  <si>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</si>
  <si>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</si>
  <si>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</si>
  <si>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</si>
  <si>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</si>
  <si>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</si>
  <si>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</si>
  <si>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</si>
  <si>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</si>
  <si>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</si>
  <si>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</si>
  <si>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</si>
  <si>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</si>
  <si>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</si>
  <si>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</si>
  <si>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</si>
  <si>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</si>
  <si>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</si>
  <si>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</si>
  <si>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</si>
  <si>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</si>
  <si>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</si>
  <si>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</si>
  <si>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</si>
  <si>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</si>
  <si>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</si>
  <si>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</si>
  <si>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</si>
  <si>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</si>
  <si>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</si>
  <si>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</si>
  <si>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</si>
  <si>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</si>
  <si>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</si>
  <si>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</si>
  <si>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</si>
  <si>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</si>
  <si>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</si>
  <si>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</si>
  <si>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</si>
  <si>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</si>
  <si>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</si>
  <si>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</si>
  <si>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</si>
  <si>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</si>
  <si>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</si>
  <si>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</si>
  <si>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</si>
  <si>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</si>
  <si>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</si>
  <si>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</si>
  <si>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</si>
  <si>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</si>
  <si>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</si>
  <si>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</si>
  <si>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</si>
  <si>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</si>
  <si>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</si>
  <si>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</si>
  <si>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</si>
  <si>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</si>
  <si>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</si>
  <si>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</si>
  <si>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</si>
  <si>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</si>
  <si>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</si>
  <si>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</si>
  <si>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</si>
  <si>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</si>
  <si>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</si>
  <si>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</si>
  <si>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</si>
  <si>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</si>
  <si>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</si>
  <si>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</si>
  <si>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</si>
  <si>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</si>
  <si>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</si>
  <si>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</si>
  <si>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</si>
  <si>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</si>
  <si>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</si>
  <si>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</si>
  <si>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</si>
  <si>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</si>
  <si>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</si>
  <si>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</si>
  <si>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</si>
  <si>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</si>
  <si>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</si>
  <si>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</si>
  <si>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</si>
  <si>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</si>
  <si>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</si>
  <si>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</si>
  <si>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</si>
  <si>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</si>
  <si>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</si>
  <si>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</si>
  <si>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</si>
  <si>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</si>
  <si>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</si>
  <si>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</si>
  <si>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</si>
  <si>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</si>
  <si>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</si>
  <si>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</si>
  <si>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</si>
  <si>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</si>
  <si>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</si>
  <si>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</si>
  <si>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</si>
  <si>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</si>
  <si>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</si>
  <si>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</si>
  <si>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</si>
  <si>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</si>
  <si>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</si>
  <si>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</si>
  <si>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</si>
  <si>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</si>
  <si>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</si>
  <si>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</si>
  <si>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</si>
  <si>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</si>
  <si>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</si>
  <si>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</si>
  <si>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</si>
  <si>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</si>
  <si>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</si>
  <si>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</si>
  <si>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</si>
  <si>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</si>
  <si>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</si>
  <si>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</si>
  <si>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</si>
  <si>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</si>
  <si>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</si>
  <si>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</si>
  <si>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</si>
  <si>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</si>
  <si>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</si>
  <si>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</si>
  <si>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</si>
  <si>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</si>
  <si>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</si>
  <si>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</si>
  <si>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</si>
  <si>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</si>
  <si>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</si>
  <si>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</si>
  <si>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</si>
  <si>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</si>
  <si>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</si>
  <si>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</si>
  <si>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</si>
  <si>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</si>
  <si>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</si>
  <si>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</si>
  <si>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</si>
  <si>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</si>
  <si>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</si>
  <si>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</si>
  <si>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</si>
  <si>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</si>
  <si>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</si>
  <si>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</si>
  <si>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</si>
  <si>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</si>
  <si>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</si>
  <si>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</si>
  <si>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</si>
  <si>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</si>
  <si>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</si>
  <si>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</si>
  <si>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</si>
  <si>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</si>
  <si>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</si>
  <si>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</si>
  <si>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</si>
  <si>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</si>
  <si>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</si>
  <si>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</si>
  <si>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</si>
  <si>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</si>
  <si>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</si>
  <si>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</si>
  <si>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</si>
  <si>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</si>
  <si>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</si>
  <si>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</si>
  <si>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</si>
  <si>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</si>
  <si>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</si>
  <si>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</si>
  <si>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</si>
  <si>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</si>
  <si>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</si>
  <si>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</si>
  <si>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</si>
  <si>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</si>
  <si>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</si>
  <si>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</si>
  <si>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</si>
  <si>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</si>
  <si>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</si>
  <si>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</si>
  <si>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</si>
  <si>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</si>
  <si>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</si>
  <si>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</si>
  <si>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</si>
  <si>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</si>
  <si>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</si>
  <si>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</si>
  <si>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</si>
  <si>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</si>
  <si>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</si>
  <si>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</si>
  <si>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</si>
  <si>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</si>
  <si>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</si>
  <si>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</si>
  <si>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</si>
  <si>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</si>
  <si>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</si>
  <si>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</si>
  <si>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</si>
  <si>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</si>
  <si>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</si>
  <si>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</si>
  <si>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</si>
  <si>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</si>
  <si>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</si>
  <si>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</si>
  <si>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</si>
  <si>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</si>
  <si>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</si>
  <si>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</si>
  <si>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</si>
  <si>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</si>
  <si>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</si>
  <si>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</si>
  <si>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</si>
  <si>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</si>
  <si>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</si>
  <si>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</si>
  <si>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</si>
  <si>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</si>
  <si>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</si>
  <si>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</si>
  <si>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</si>
  <si>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</si>
  <si>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</si>
  <si>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</si>
  <si>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</si>
  <si>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</si>
  <si>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</si>
  <si>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</si>
  <si>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</si>
  <si>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</si>
  <si>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</si>
  <si>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</si>
  <si>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</si>
  <si>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</si>
  <si>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</si>
  <si>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</si>
  <si>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</si>
  <si>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</si>
  <si>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</si>
  <si>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</si>
  <si>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</si>
  <si>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</si>
  <si>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</si>
  <si>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</si>
  <si>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</si>
  <si>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</si>
  <si>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</si>
  <si>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</si>
  <si>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</si>
  <si>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</si>
  <si>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</si>
  <si>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</si>
  <si>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Sum of Profit</t>
  </si>
  <si>
    <t>Sum of Expenses</t>
  </si>
  <si>
    <t>Sum of Revenue</t>
  </si>
  <si>
    <t>DASHBOARD 1</t>
  </si>
  <si>
    <t>Total Revenu</t>
  </si>
  <si>
    <t>Total Expenses</t>
  </si>
  <si>
    <t>Total Profit</t>
  </si>
  <si>
    <t>Row Labels</t>
  </si>
  <si>
    <t>Grand Total</t>
  </si>
  <si>
    <t>Count of 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</si>
</sst>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 * #,##0_ ;_ * \-#,##0_ ;_ * &quot;-&quot;??_ ;_ @_ "/>
    <numFmt numFmtId="168" formatCode="&quot;₹&quot;\ 0.00,&quot;K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1" fillId="0" borderId="0" xfId="0" applyNumberFormat="1" applyFont="1"/>
    <xf numFmtId="0" fontId="0" fillId="0" borderId="0" xfId="0" applyNumberFormat="1"/>
    <xf numFmtId="165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 applyAlignme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2"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8" formatCode="&quot;₹&quot;\ 0.00,&quot;K&quot;"/>
    </dxf>
    <dxf>
      <numFmt numFmtId="168" formatCode="&quot;₹&quot;\ 0.00,&quot;K&quot;"/>
    </dxf>
    <dxf>
      <numFmt numFmtId="168" formatCode="&quot;₹&quot;\ 0.00,&quot;K&quot;"/>
    </dxf>
    <dxf>
      <numFmt numFmtId="165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 Dashboard in Excel Dashboard 1(KPI's, Column Chart, Bar Chart, Line Chart, Area Chart, Pie Chart).xlsx]Column Chart!PivotTable3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chemeClr val="tx1"/>
                </a:solidFill>
              </a:rPr>
              <a:t>Total</a:t>
            </a:r>
            <a:r>
              <a:rPr lang="en-US" sz="1400" b="1" u="sng" baseline="0">
                <a:solidFill>
                  <a:schemeClr val="tx1"/>
                </a:solidFill>
              </a:rPr>
              <a:t> Revenue by Department</a:t>
            </a:r>
            <a:endParaRPr lang="en-US" sz="1400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75000"/>
                    <a:tint val="66000"/>
                    <a:satMod val="160000"/>
                  </a:schemeClr>
                </a:gs>
                <a:gs pos="50000">
                  <a:schemeClr val="accent2">
                    <a:lumMod val="75000"/>
                    <a:tint val="44500"/>
                    <a:satMod val="160000"/>
                  </a:schemeClr>
                </a:gs>
                <a:gs pos="100000">
                  <a:schemeClr val="accent2">
                    <a:lumMod val="75000"/>
                    <a:tint val="23500"/>
                    <a:satMod val="16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'Column Chart'!$B$4:$B$10</c:f>
              <c:numCache>
                <c:formatCode>_ * #,##0_ ;_ * \-#,##0_ ;_ * "-"??_ ;_ @_ </c:formatCode>
                <c:ptCount val="6"/>
                <c:pt idx="0">
                  <c:v>4282066</c:v>
                </c:pt>
                <c:pt idx="1">
                  <c:v>5162833</c:v>
                </c:pt>
                <c:pt idx="2">
                  <c:v>21751813</c:v>
                </c:pt>
                <c:pt idx="3">
                  <c:v>8151306</c:v>
                </c:pt>
                <c:pt idx="4">
                  <c:v>6092500</c:v>
                </c:pt>
                <c:pt idx="5">
                  <c:v>8525057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A-4083-9E1B-79CDD9ACC8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9563487"/>
        <c:axId val="1570534495"/>
      </c:barChart>
      <c:catAx>
        <c:axId val="156956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34495"/>
        <c:crosses val="autoZero"/>
        <c:auto val="1"/>
        <c:lblAlgn val="ctr"/>
        <c:lblOffset val="100"/>
        <c:noMultiLvlLbl val="0"/>
      </c:catAx>
      <c:valAx>
        <c:axId val="1570534495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695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 Dashboard in Excel Dashboard 1(KPI's, Column Chart, Bar Chart, Line Chart, Area Chart, Pie Chart).xlsx]Bar Chart!PivotTable4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chemeClr val="tx1"/>
                </a:solidFill>
              </a:rPr>
              <a:t>Total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5">
                  <a:lumMod val="60000"/>
                  <a:lumOff val="40000"/>
                  <a:shade val="30000"/>
                  <a:satMod val="115000"/>
                </a:schemeClr>
              </a:gs>
              <a:gs pos="50000">
                <a:schemeClr val="accent5">
                  <a:lumMod val="60000"/>
                  <a:lumOff val="40000"/>
                  <a:shade val="67500"/>
                  <a:satMod val="115000"/>
                </a:schemeClr>
              </a:gs>
              <a:gs pos="100000">
                <a:schemeClr val="accent5">
                  <a:lumMod val="60000"/>
                  <a:lumOff val="40000"/>
                  <a:shade val="100000"/>
                  <a:satMod val="1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5">
                  <a:lumMod val="60000"/>
                  <a:lumOff val="40000"/>
                  <a:shade val="30000"/>
                  <a:satMod val="115000"/>
                </a:schemeClr>
              </a:gs>
              <a:gs pos="50000">
                <a:schemeClr val="accent5">
                  <a:lumMod val="60000"/>
                  <a:lumOff val="40000"/>
                  <a:shade val="67500"/>
                  <a:satMod val="115000"/>
                </a:schemeClr>
              </a:gs>
              <a:gs pos="100000">
                <a:schemeClr val="accent5">
                  <a:lumMod val="60000"/>
                  <a:lumOff val="40000"/>
                  <a:shade val="100000"/>
                  <a:satMod val="1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5">
                  <a:lumMod val="60000"/>
                  <a:lumOff val="40000"/>
                  <a:shade val="30000"/>
                  <a:satMod val="115000"/>
                </a:schemeClr>
              </a:gs>
              <a:gs pos="50000">
                <a:schemeClr val="accent5">
                  <a:lumMod val="60000"/>
                  <a:lumOff val="40000"/>
                  <a:shade val="67500"/>
                  <a:satMod val="115000"/>
                </a:schemeClr>
              </a:gs>
              <a:gs pos="100000">
                <a:schemeClr val="accent5">
                  <a:lumMod val="60000"/>
                  <a:lumOff val="40000"/>
                  <a:shade val="100000"/>
                  <a:satMod val="1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5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5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8751137</c:v>
                </c:pt>
                <c:pt idx="1">
                  <c:v>2357239</c:v>
                </c:pt>
                <c:pt idx="2">
                  <c:v>3319282</c:v>
                </c:pt>
                <c:pt idx="3">
                  <c:v>3916884</c:v>
                </c:pt>
                <c:pt idx="4">
                  <c:v>2148987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E-4DCF-AA3C-A65E232FE9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6843999"/>
        <c:axId val="1956834879"/>
      </c:barChart>
      <c:catAx>
        <c:axId val="1956843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1956834879"/>
        <c:crosses val="autoZero"/>
        <c:auto val="1"/>
        <c:lblAlgn val="ctr"/>
        <c:lblOffset val="100"/>
        <c:noMultiLvlLbl val="0"/>
      </c:catAx>
      <c:valAx>
        <c:axId val="1956834879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95684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 Dashboard in Excel Dashboard 1(KPI's, Column Chart, Bar Chart, Line Chart, Area Chart, Pie Chart).xlsx]Line Chart!PivotTable5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u="sng">
                <a:solidFill>
                  <a:schemeClr val="tx1"/>
                </a:solidFill>
              </a:rPr>
              <a:t>Total</a:t>
            </a:r>
            <a:r>
              <a:rPr lang="en-IN" sz="1400" b="1" u="sng" baseline="0">
                <a:solidFill>
                  <a:schemeClr val="tx1"/>
                </a:solidFill>
              </a:rPr>
              <a:t> Revenue, Expenses &amp; Profit by Department</a:t>
            </a:r>
            <a:endParaRPr lang="en-IN" sz="1400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'Line Chart'!$B$4:$B$10</c:f>
              <c:numCache>
                <c:formatCode>_ * #,##0_ ;_ * \-#,##0_ ;_ * "-"??_ ;_ @_ </c:formatCode>
                <c:ptCount val="6"/>
                <c:pt idx="0">
                  <c:v>4282066</c:v>
                </c:pt>
                <c:pt idx="1">
                  <c:v>5162833</c:v>
                </c:pt>
                <c:pt idx="2">
                  <c:v>21751813</c:v>
                </c:pt>
                <c:pt idx="3">
                  <c:v>8151306</c:v>
                </c:pt>
                <c:pt idx="4">
                  <c:v>6092500</c:v>
                </c:pt>
                <c:pt idx="5">
                  <c:v>8525057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62-41C4-8C03-3C2C2091F5BC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'Line Chart'!$C$4:$C$10</c:f>
              <c:numCache>
                <c:formatCode>_ * #,##0_ ;_ * \-#,##0_ ;_ * "-"??_ ;_ @_ </c:formatCode>
                <c:ptCount val="6"/>
                <c:pt idx="0">
                  <c:v>2614413</c:v>
                </c:pt>
                <c:pt idx="1">
                  <c:v>3331496</c:v>
                </c:pt>
                <c:pt idx="2">
                  <c:v>13599716</c:v>
                </c:pt>
                <c:pt idx="3">
                  <c:v>4811663</c:v>
                </c:pt>
                <c:pt idx="4">
                  <c:v>3744006</c:v>
                </c:pt>
                <c:pt idx="5">
                  <c:v>5370752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62-41C4-8C03-3C2C2091F5BC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'Line Chart'!$D$4:$D$10</c:f>
              <c:numCache>
                <c:formatCode>_ * #,##0_ ;_ * \-#,##0_ ;_ * "-"??_ ;_ @_ </c:formatCode>
                <c:ptCount val="6"/>
                <c:pt idx="0">
                  <c:v>1667653</c:v>
                </c:pt>
                <c:pt idx="1">
                  <c:v>1831337</c:v>
                </c:pt>
                <c:pt idx="2">
                  <c:v>8152097</c:v>
                </c:pt>
                <c:pt idx="3">
                  <c:v>3339643</c:v>
                </c:pt>
                <c:pt idx="4">
                  <c:v>2348494</c:v>
                </c:pt>
                <c:pt idx="5">
                  <c:v>3154305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62-41C4-8C03-3C2C2091F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6831519"/>
        <c:axId val="1956842559"/>
      </c:lineChart>
      <c:catAx>
        <c:axId val="195683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842559"/>
        <c:crosses val="autoZero"/>
        <c:auto val="1"/>
        <c:lblAlgn val="ctr"/>
        <c:lblOffset val="100"/>
        <c:noMultiLvlLbl val="0"/>
      </c:catAx>
      <c:valAx>
        <c:axId val="1956842559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83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 Dashboard in Excel Dashboard 1(KPI's, Column Chart, Bar Chart, Line Chart, Area Chart, Pie Chart).xlsx]Area Chart!PivotTable6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chemeClr val="tx1"/>
                </a:solidFill>
              </a:rPr>
              <a:t>Total</a:t>
            </a:r>
            <a:r>
              <a:rPr lang="en-US" sz="1400" b="1" u="sng" baseline="0">
                <a:solidFill>
                  <a:schemeClr val="tx1"/>
                </a:solidFill>
              </a:rPr>
              <a:t> No. of Transcation by Payment Method</a:t>
            </a:r>
            <a:endParaRPr lang="en-US" sz="1400" b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63305555555555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1.388888888888889E-2"/>
              <c:y val="-0.296296296296296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0.14444444444444446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1.9444444444444344E-2"/>
              <c:y val="-0.3333333333333333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3.6111111111111212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1.388888888888889E-2"/>
              <c:y val="-0.296296296296296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0.14444444444444446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1.9444444444444344E-2"/>
              <c:y val="-0.3333333333333333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3.6111111111111212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1.388888888888889E-2"/>
              <c:y val="-0.296296296296296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0.14444444444444446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1.9444444444444344E-2"/>
              <c:y val="-0.3333333333333333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3.6111111111111212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-1.388888888888889E-2"/>
                  <c:y val="-0.2962962962962962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3B-4849-8F51-3382F3BB2793}"/>
                </c:ext>
              </c:extLst>
            </c:dLbl>
            <c:dLbl>
              <c:idx val="1"/>
              <c:layout>
                <c:manualLayout>
                  <c:x val="-0.14444444444444446"/>
                  <c:y val="-0.3055555555555555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3B-4849-8F51-3382F3BB2793}"/>
                </c:ext>
              </c:extLst>
            </c:dLbl>
            <c:dLbl>
              <c:idx val="2"/>
              <c:layout>
                <c:manualLayout>
                  <c:x val="1.9444444444444344E-2"/>
                  <c:y val="-0.3333333333333333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3B-4849-8F51-3382F3BB2793}"/>
                </c:ext>
              </c:extLst>
            </c:dLbl>
            <c:dLbl>
              <c:idx val="3"/>
              <c:layout>
                <c:manualLayout>
                  <c:x val="-3.6111111111111212E-2"/>
                  <c:y val="-0.26388888888888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3B-4849-8F51-3382F3BB279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'Area Chart'!$B$4:$B$8</c:f>
              <c:numCache>
                <c:formatCode>General</c:formatCode>
                <c:ptCount val="4"/>
                <c:pt idx="0">
                  <c:v>344</c:v>
                </c:pt>
                <c:pt idx="1">
                  <c:v>845</c:v>
                </c:pt>
                <c:pt idx="2">
                  <c:v>520</c:v>
                </c:pt>
                <c:pt idx="3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3B-4849-8F51-3382F3BB2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044111"/>
        <c:axId val="2044048911"/>
      </c:areaChart>
      <c:catAx>
        <c:axId val="2044044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48911"/>
        <c:crosses val="autoZero"/>
        <c:auto val="1"/>
        <c:lblAlgn val="ctr"/>
        <c:lblOffset val="100"/>
        <c:noMultiLvlLbl val="0"/>
      </c:catAx>
      <c:valAx>
        <c:axId val="20440489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4404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[Creating Dashboard in Excel Dashboard 1(KPI's, Column Chart, Bar Chart, Line Chart, Area Chart, Pie Chart).xlsx]Pi Chart!PivotTable7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chemeClr val="tx1"/>
                </a:solidFill>
              </a:rPr>
              <a:t>Total</a:t>
            </a:r>
            <a:r>
              <a:rPr lang="en-US" sz="1400" b="1" u="sng" baseline="0">
                <a:solidFill>
                  <a:schemeClr val="tx1"/>
                </a:solidFill>
              </a:rPr>
              <a:t> Expenses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269841269841269E-2"/>
              <c:y val="3.58422939068100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269841269841269E-2"/>
              <c:y val="8.9605734767025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4920634920634949E-2"/>
              <c:y val="8.9605734767025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72-4197-AABA-6165CB100385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72-4197-AABA-6165CB10038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72-4197-AABA-6165CB100385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72-4197-AABA-6165CB100385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72-4197-AABA-6165CB100385}"/>
              </c:ext>
            </c:extLst>
          </c:dPt>
          <c:dLbls>
            <c:dLbl>
              <c:idx val="0"/>
              <c:layout>
                <c:manualLayout>
                  <c:x val="4.1269841269841269E-2"/>
                  <c:y val="3.584229390681003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72-4197-AABA-6165CB100385}"/>
                </c:ext>
              </c:extLst>
            </c:dLbl>
            <c:dLbl>
              <c:idx val="1"/>
              <c:layout>
                <c:manualLayout>
                  <c:x val="4.1269841269841269E-2"/>
                  <c:y val="8.960573476702508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72-4197-AABA-6165CB100385}"/>
                </c:ext>
              </c:extLst>
            </c:dLbl>
            <c:dLbl>
              <c:idx val="4"/>
              <c:layout>
                <c:manualLayout>
                  <c:x val="-3.4920634920634949E-2"/>
                  <c:y val="8.960573476702508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072-4197-AABA-6165CB1003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 Chart'!$B$4:$B$9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72-4197-AABA-6165CB1003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 Dashboard in Excel Dashboard 1(KPI's, Column Chart, Bar Chart, Line Chart, Area Chart, Pie Chart).xlsx]Column Chart!PivotTable3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chemeClr val="tx1"/>
                </a:solidFill>
              </a:rPr>
              <a:t>Total</a:t>
            </a:r>
            <a:r>
              <a:rPr lang="en-US" sz="1400" b="1" u="sng" baseline="0">
                <a:solidFill>
                  <a:schemeClr val="tx1"/>
                </a:solidFill>
              </a:rPr>
              <a:t> Revenue by Department</a:t>
            </a:r>
            <a:endParaRPr lang="en-US" sz="1400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>
                  <a:lumMod val="75000"/>
                  <a:tint val="66000"/>
                  <a:satMod val="160000"/>
                </a:schemeClr>
              </a:gs>
              <a:gs pos="50000">
                <a:schemeClr val="accent2">
                  <a:lumMod val="75000"/>
                  <a:tint val="44500"/>
                  <a:satMod val="160000"/>
                </a:schemeClr>
              </a:gs>
              <a:gs pos="100000">
                <a:schemeClr val="accent2">
                  <a:lumMod val="75000"/>
                  <a:tint val="23500"/>
                  <a:satMod val="16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75000"/>
                    <a:tint val="66000"/>
                    <a:satMod val="160000"/>
                  </a:schemeClr>
                </a:gs>
                <a:gs pos="50000">
                  <a:schemeClr val="accent2">
                    <a:lumMod val="75000"/>
                    <a:tint val="44500"/>
                    <a:satMod val="160000"/>
                  </a:schemeClr>
                </a:gs>
                <a:gs pos="100000">
                  <a:schemeClr val="accent2">
                    <a:lumMod val="75000"/>
                    <a:tint val="23500"/>
                    <a:satMod val="16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'Column Chart'!$B$4:$B$10</c:f>
              <c:numCache>
                <c:formatCode>_ * #,##0_ ;_ * \-#,##0_ ;_ * "-"??_ ;_ @_ </c:formatCode>
                <c:ptCount val="6"/>
                <c:pt idx="0">
                  <c:v>4282066</c:v>
                </c:pt>
                <c:pt idx="1">
                  <c:v>5162833</c:v>
                </c:pt>
                <c:pt idx="2">
                  <c:v>21751813</c:v>
                </c:pt>
                <c:pt idx="3">
                  <c:v>8151306</c:v>
                </c:pt>
                <c:pt idx="4">
                  <c:v>6092500</c:v>
                </c:pt>
                <c:pt idx="5">
                  <c:v>8525057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5-4B8E-8010-400EDBD2F1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9563487"/>
        <c:axId val="1570534495"/>
      </c:barChart>
      <c:catAx>
        <c:axId val="156956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34495"/>
        <c:crosses val="autoZero"/>
        <c:auto val="1"/>
        <c:lblAlgn val="ctr"/>
        <c:lblOffset val="100"/>
        <c:noMultiLvlLbl val="0"/>
      </c:catAx>
      <c:valAx>
        <c:axId val="1570534495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695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 Dashboard in Excel Dashboard 1(KPI's, Column Chart, Bar Chart, Line Chart, Area Chart, Pie Chart).xlsx]Bar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chemeClr val="tx1"/>
                </a:solidFill>
              </a:rPr>
              <a:t>Total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5">
                  <a:lumMod val="60000"/>
                  <a:lumOff val="40000"/>
                  <a:shade val="30000"/>
                  <a:satMod val="115000"/>
                </a:schemeClr>
              </a:gs>
              <a:gs pos="50000">
                <a:schemeClr val="accent5">
                  <a:lumMod val="60000"/>
                  <a:lumOff val="40000"/>
                  <a:shade val="67500"/>
                  <a:satMod val="115000"/>
                </a:schemeClr>
              </a:gs>
              <a:gs pos="100000">
                <a:schemeClr val="accent5">
                  <a:lumMod val="60000"/>
                  <a:lumOff val="40000"/>
                  <a:shade val="100000"/>
                  <a:satMod val="1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5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5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8751137</c:v>
                </c:pt>
                <c:pt idx="1">
                  <c:v>2357239</c:v>
                </c:pt>
                <c:pt idx="2">
                  <c:v>3319282</c:v>
                </c:pt>
                <c:pt idx="3">
                  <c:v>3916884</c:v>
                </c:pt>
                <c:pt idx="4">
                  <c:v>2148987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9-44E8-9FCF-3E038EA67B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6843999"/>
        <c:axId val="1956834879"/>
      </c:barChart>
      <c:catAx>
        <c:axId val="1956843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1956834879"/>
        <c:crosses val="autoZero"/>
        <c:auto val="1"/>
        <c:lblAlgn val="ctr"/>
        <c:lblOffset val="100"/>
        <c:noMultiLvlLbl val="0"/>
      </c:catAx>
      <c:valAx>
        <c:axId val="1956834879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95684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 Dashboard in Excel Dashboard 1(KPI's, Column Chart, Bar Chart, Line Chart, Area Chart, Pie Chart).xlsx]Line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u="sng">
                <a:solidFill>
                  <a:schemeClr val="tx1"/>
                </a:solidFill>
              </a:rPr>
              <a:t>Total</a:t>
            </a:r>
            <a:r>
              <a:rPr lang="en-IN" sz="1400" b="1" u="sng" baseline="0">
                <a:solidFill>
                  <a:schemeClr val="tx1"/>
                </a:solidFill>
              </a:rPr>
              <a:t> Revenue, Expenses &amp; Profit by Department</a:t>
            </a:r>
            <a:endParaRPr lang="en-IN" sz="1400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'Line Chart'!$B$4:$B$10</c:f>
              <c:numCache>
                <c:formatCode>_ * #,##0_ ;_ * \-#,##0_ ;_ * "-"??_ ;_ @_ </c:formatCode>
                <c:ptCount val="6"/>
                <c:pt idx="0">
                  <c:v>4282066</c:v>
                </c:pt>
                <c:pt idx="1">
                  <c:v>5162833</c:v>
                </c:pt>
                <c:pt idx="2">
                  <c:v>21751813</c:v>
                </c:pt>
                <c:pt idx="3">
                  <c:v>8151306</c:v>
                </c:pt>
                <c:pt idx="4">
                  <c:v>6092500</c:v>
                </c:pt>
                <c:pt idx="5">
                  <c:v>8525057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2-4523-957E-656E053C34CB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'Line Chart'!$C$4:$C$10</c:f>
              <c:numCache>
                <c:formatCode>_ * #,##0_ ;_ * \-#,##0_ ;_ * "-"??_ ;_ @_ </c:formatCode>
                <c:ptCount val="6"/>
                <c:pt idx="0">
                  <c:v>2614413</c:v>
                </c:pt>
                <c:pt idx="1">
                  <c:v>3331496</c:v>
                </c:pt>
                <c:pt idx="2">
                  <c:v>13599716</c:v>
                </c:pt>
                <c:pt idx="3">
                  <c:v>4811663</c:v>
                </c:pt>
                <c:pt idx="4">
                  <c:v>3744006</c:v>
                </c:pt>
                <c:pt idx="5">
                  <c:v>5370752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22-4523-957E-656E053C34CB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'Line Chart'!$D$4:$D$10</c:f>
              <c:numCache>
                <c:formatCode>_ * #,##0_ ;_ * \-#,##0_ ;_ * "-"??_ ;_ @_ </c:formatCode>
                <c:ptCount val="6"/>
                <c:pt idx="0">
                  <c:v>1667653</c:v>
                </c:pt>
                <c:pt idx="1">
                  <c:v>1831337</c:v>
                </c:pt>
                <c:pt idx="2">
                  <c:v>8152097</c:v>
                </c:pt>
                <c:pt idx="3">
                  <c:v>3339643</c:v>
                </c:pt>
                <c:pt idx="4">
                  <c:v>2348494</c:v>
                </c:pt>
                <c:pt idx="5">
                  <c:v>3154305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22-4523-957E-656E053C34C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6831519"/>
        <c:axId val="1956842559"/>
      </c:lineChart>
      <c:catAx>
        <c:axId val="195683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842559"/>
        <c:crosses val="autoZero"/>
        <c:auto val="1"/>
        <c:lblAlgn val="ctr"/>
        <c:lblOffset val="100"/>
        <c:noMultiLvlLbl val="0"/>
      </c:catAx>
      <c:valAx>
        <c:axId val="1956842559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83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 Dashboard in Excel Dashboard 1(KPI's, Column Chart, Bar Chart, Line Chart, Area Chart, Pie Chart).xlsx]Area Chart!PivotTable6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chemeClr val="tx1"/>
                </a:solidFill>
              </a:rPr>
              <a:t>Total</a:t>
            </a:r>
            <a:r>
              <a:rPr lang="en-US" sz="1400" b="1" u="sng" baseline="0">
                <a:solidFill>
                  <a:schemeClr val="tx1"/>
                </a:solidFill>
              </a:rPr>
              <a:t> No. of Transcation by Payment Method</a:t>
            </a:r>
            <a:endParaRPr lang="en-US" sz="1400" b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63305555555555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1.388888888888889E-2"/>
              <c:y val="-0.296296296296296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0.14444444444444446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1.9444444444444344E-2"/>
              <c:y val="-0.3333333333333333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3.6111111111111212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-1.388888888888889E-2"/>
                  <c:y val="-0.2962962962962962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2F-4D7E-AB60-8907AD37CA5F}"/>
                </c:ext>
              </c:extLst>
            </c:dLbl>
            <c:dLbl>
              <c:idx val="1"/>
              <c:layout>
                <c:manualLayout>
                  <c:x val="-0.14444444444444446"/>
                  <c:y val="-0.3055555555555555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2F-4D7E-AB60-8907AD37CA5F}"/>
                </c:ext>
              </c:extLst>
            </c:dLbl>
            <c:dLbl>
              <c:idx val="2"/>
              <c:layout>
                <c:manualLayout>
                  <c:x val="1.9444444444444344E-2"/>
                  <c:y val="-0.3333333333333333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2F-4D7E-AB60-8907AD37CA5F}"/>
                </c:ext>
              </c:extLst>
            </c:dLbl>
            <c:dLbl>
              <c:idx val="3"/>
              <c:layout>
                <c:manualLayout>
                  <c:x val="-3.6111111111111212E-2"/>
                  <c:y val="-0.26388888888888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2F-4D7E-AB60-8907AD37CA5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'Area Chart'!$B$4:$B$8</c:f>
              <c:numCache>
                <c:formatCode>General</c:formatCode>
                <c:ptCount val="4"/>
                <c:pt idx="0">
                  <c:v>344</c:v>
                </c:pt>
                <c:pt idx="1">
                  <c:v>845</c:v>
                </c:pt>
                <c:pt idx="2">
                  <c:v>520</c:v>
                </c:pt>
                <c:pt idx="3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F-4D7E-AB60-8907AD37C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044111"/>
        <c:axId val="2044048911"/>
      </c:areaChart>
      <c:catAx>
        <c:axId val="2044044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48911"/>
        <c:crosses val="autoZero"/>
        <c:auto val="1"/>
        <c:lblAlgn val="ctr"/>
        <c:lblOffset val="100"/>
        <c:noMultiLvlLbl val="0"/>
      </c:catAx>
      <c:valAx>
        <c:axId val="20440489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4404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[Creating Dashboard in Excel Dashboard 1(KPI's, Column Chart, Bar Chart, Line Chart, Area Chart, Pie Chart).xlsx]Pi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chemeClr val="tx1"/>
                </a:solidFill>
              </a:rPr>
              <a:t>Total</a:t>
            </a:r>
            <a:r>
              <a:rPr lang="en-US" sz="1400" b="1" u="sng" baseline="0">
                <a:solidFill>
                  <a:schemeClr val="tx1"/>
                </a:solidFill>
              </a:rPr>
              <a:t> Expenses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 Chart'!$B$4:$B$9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7-4A0C-A9E6-78389D5B6B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3</xdr:row>
      <xdr:rowOff>160020</xdr:rowOff>
    </xdr:from>
    <xdr:to>
      <xdr:col>4</xdr:col>
      <xdr:colOff>152400</xdr:colOff>
      <xdr:row>9</xdr:row>
      <xdr:rowOff>106680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64A2916-D8A4-6302-1E21-9BC01D5D10D5}"/>
            </a:ext>
          </a:extLst>
        </xdr:cNvPr>
        <xdr:cNvSpPr/>
      </xdr:nvSpPr>
      <xdr:spPr>
        <a:xfrm>
          <a:off x="251460" y="708660"/>
          <a:ext cx="2339340" cy="104394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167640</xdr:colOff>
      <xdr:row>3</xdr:row>
      <xdr:rowOff>175260</xdr:rowOff>
    </xdr:from>
    <xdr:to>
      <xdr:col>9</xdr:col>
      <xdr:colOff>68580</xdr:colOff>
      <xdr:row>9</xdr:row>
      <xdr:rowOff>121920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B767F8D-F051-4C94-A691-BE72686548CA}"/>
            </a:ext>
          </a:extLst>
        </xdr:cNvPr>
        <xdr:cNvSpPr/>
      </xdr:nvSpPr>
      <xdr:spPr>
        <a:xfrm>
          <a:off x="3215640" y="723900"/>
          <a:ext cx="2339340" cy="104394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83820</xdr:colOff>
      <xdr:row>4</xdr:row>
      <xdr:rowOff>15240</xdr:rowOff>
    </xdr:from>
    <xdr:to>
      <xdr:col>13</xdr:col>
      <xdr:colOff>594360</xdr:colOff>
      <xdr:row>9</xdr:row>
      <xdr:rowOff>144780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C8ED12B-E1EE-4C95-B70B-D3DCB0B6B510}"/>
            </a:ext>
          </a:extLst>
        </xdr:cNvPr>
        <xdr:cNvSpPr/>
      </xdr:nvSpPr>
      <xdr:spPr>
        <a:xfrm>
          <a:off x="6179820" y="746760"/>
          <a:ext cx="2339340" cy="104394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6</xdr:row>
      <xdr:rowOff>99060</xdr:rowOff>
    </xdr:from>
    <xdr:to>
      <xdr:col>4</xdr:col>
      <xdr:colOff>45720</xdr:colOff>
      <xdr:row>8</xdr:row>
      <xdr:rowOff>144780</xdr:rowOff>
    </xdr:to>
    <xdr:sp macro="" textlink="'KPI''s'!A9">
      <xdr:nvSpPr>
        <xdr:cNvPr id="5" name="TextBox 4">
          <a:extLst>
            <a:ext uri="{FF2B5EF4-FFF2-40B4-BE49-F238E27FC236}">
              <a16:creationId xmlns:a16="http://schemas.microsoft.com/office/drawing/2014/main" id="{89B97DB8-68D3-0013-CF1F-4F2BD0B12905}"/>
            </a:ext>
          </a:extLst>
        </xdr:cNvPr>
        <xdr:cNvSpPr txBox="1"/>
      </xdr:nvSpPr>
      <xdr:spPr>
        <a:xfrm>
          <a:off x="678180" y="1196340"/>
          <a:ext cx="1805940" cy="411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C0AE663-B04B-4483-8290-1BA6D3277DCE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</a:rPr>
            <a:t>₹ 53965.58K</a:t>
          </a:fld>
          <a:endParaRPr lang="en-US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53340</xdr:colOff>
      <xdr:row>4</xdr:row>
      <xdr:rowOff>76200</xdr:rowOff>
    </xdr:from>
    <xdr:to>
      <xdr:col>3</xdr:col>
      <xdr:colOff>480060</xdr:colOff>
      <xdr:row>7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49EFCCA-2AA2-86EC-2DF0-CDACB9E528CE}"/>
            </a:ext>
          </a:extLst>
        </xdr:cNvPr>
        <xdr:cNvSpPr txBox="1"/>
      </xdr:nvSpPr>
      <xdr:spPr>
        <a:xfrm>
          <a:off x="662940" y="807720"/>
          <a:ext cx="1645920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2">
                  <a:lumMod val="75000"/>
                </a:schemeClr>
              </a:solidFill>
            </a:rPr>
            <a:t>Total Sales</a:t>
          </a:r>
        </a:p>
      </xdr:txBody>
    </xdr:sp>
    <xdr:clientData/>
  </xdr:twoCellAnchor>
  <xdr:twoCellAnchor>
    <xdr:from>
      <xdr:col>5</xdr:col>
      <xdr:colOff>502920</xdr:colOff>
      <xdr:row>6</xdr:row>
      <xdr:rowOff>91440</xdr:rowOff>
    </xdr:from>
    <xdr:to>
      <xdr:col>8</xdr:col>
      <xdr:colOff>480060</xdr:colOff>
      <xdr:row>8</xdr:row>
      <xdr:rowOff>137160</xdr:rowOff>
    </xdr:to>
    <xdr:sp macro="" textlink="'KPI''s'!B9">
      <xdr:nvSpPr>
        <xdr:cNvPr id="7" name="TextBox 6">
          <a:extLst>
            <a:ext uri="{FF2B5EF4-FFF2-40B4-BE49-F238E27FC236}">
              <a16:creationId xmlns:a16="http://schemas.microsoft.com/office/drawing/2014/main" id="{8A6C3C7B-45F0-4B77-A04F-F250F0761A3E}"/>
            </a:ext>
          </a:extLst>
        </xdr:cNvPr>
        <xdr:cNvSpPr txBox="1"/>
      </xdr:nvSpPr>
      <xdr:spPr>
        <a:xfrm>
          <a:off x="3550920" y="1188720"/>
          <a:ext cx="1805940" cy="411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A78B7D0-E24D-4CEF-B728-6178042492AF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  <a:ea typeface="+mn-ea"/>
              <a:cs typeface="+mn-cs"/>
            </a:rPr>
            <a:pPr marL="0" indent="0"/>
            <a:t>₹ 33472.05K</a:t>
          </a:fld>
          <a:endParaRPr lang="en-US" sz="2000" b="1" i="0" u="none" strike="noStrike">
            <a:solidFill>
              <a:schemeClr val="tx1">
                <a:lumMod val="75000"/>
                <a:lumOff val="2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304800</xdr:colOff>
      <xdr:row>4</xdr:row>
      <xdr:rowOff>38100</xdr:rowOff>
    </xdr:from>
    <xdr:to>
      <xdr:col>9</xdr:col>
      <xdr:colOff>38100</xdr:colOff>
      <xdr:row>7</xdr:row>
      <xdr:rowOff>22860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E25BF35-B04F-4ED2-8EF7-8EF9CD1AF12C}"/>
            </a:ext>
          </a:extLst>
        </xdr:cNvPr>
        <xdr:cNvSpPr txBox="1"/>
      </xdr:nvSpPr>
      <xdr:spPr>
        <a:xfrm>
          <a:off x="3352800" y="769620"/>
          <a:ext cx="21717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="1" baseline="0">
              <a:solidFill>
                <a:schemeClr val="accent2">
                  <a:lumMod val="75000"/>
                </a:schemeClr>
              </a:solidFill>
            </a:rPr>
            <a:t> </a:t>
          </a:r>
          <a:r>
            <a:rPr lang="en-IN" sz="2400" b="1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rPr>
            <a:t>Expenses</a:t>
          </a:r>
        </a:p>
      </xdr:txBody>
    </xdr:sp>
    <xdr:clientData/>
  </xdr:twoCellAnchor>
  <xdr:twoCellAnchor>
    <xdr:from>
      <xdr:col>10</xdr:col>
      <xdr:colOff>457200</xdr:colOff>
      <xdr:row>6</xdr:row>
      <xdr:rowOff>99060</xdr:rowOff>
    </xdr:from>
    <xdr:to>
      <xdr:col>13</xdr:col>
      <xdr:colOff>434340</xdr:colOff>
      <xdr:row>8</xdr:row>
      <xdr:rowOff>144780</xdr:rowOff>
    </xdr:to>
    <xdr:sp macro="" textlink="'KPI''s'!C9">
      <xdr:nvSpPr>
        <xdr:cNvPr id="9" name="TextBox 8">
          <a:extLst>
            <a:ext uri="{FF2B5EF4-FFF2-40B4-BE49-F238E27FC236}">
              <a16:creationId xmlns:a16="http://schemas.microsoft.com/office/drawing/2014/main" id="{4B440242-5F65-4FA9-8B02-9650677D1859}"/>
            </a:ext>
          </a:extLst>
        </xdr:cNvPr>
        <xdr:cNvSpPr txBox="1"/>
      </xdr:nvSpPr>
      <xdr:spPr>
        <a:xfrm>
          <a:off x="6553200" y="1196340"/>
          <a:ext cx="1805940" cy="411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8C76E9F-0283-4450-8FE3-BEEBC6A34D1A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  <a:ea typeface="+mn-ea"/>
              <a:cs typeface="+mn-cs"/>
            </a:rPr>
            <a:pPr marL="0" indent="0"/>
            <a:t>₹ 20493.53K</a:t>
          </a:fld>
          <a:endParaRPr lang="en-US" sz="2000" b="1" i="0" u="none" strike="noStrike">
            <a:solidFill>
              <a:schemeClr val="tx1">
                <a:lumMod val="75000"/>
                <a:lumOff val="2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426720</xdr:colOff>
      <xdr:row>4</xdr:row>
      <xdr:rowOff>60960</xdr:rowOff>
    </xdr:from>
    <xdr:to>
      <xdr:col>13</xdr:col>
      <xdr:colOff>243840</xdr:colOff>
      <xdr:row>7</xdr:row>
      <xdr:rowOff>22860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DA27C82-503F-4B44-9D12-F96F64FF4156}"/>
            </a:ext>
          </a:extLst>
        </xdr:cNvPr>
        <xdr:cNvSpPr txBox="1"/>
      </xdr:nvSpPr>
      <xdr:spPr>
        <a:xfrm>
          <a:off x="6522720" y="792480"/>
          <a:ext cx="1645920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2400" b="1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rPr>
            <a:t>Total Profit</a:t>
          </a:r>
        </a:p>
      </xdr:txBody>
    </xdr:sp>
    <xdr:clientData/>
  </xdr:twoCellAnchor>
  <xdr:twoCellAnchor>
    <xdr:from>
      <xdr:col>0</xdr:col>
      <xdr:colOff>243840</xdr:colOff>
      <xdr:row>10</xdr:row>
      <xdr:rowOff>68580</xdr:rowOff>
    </xdr:from>
    <xdr:to>
      <xdr:col>7</xdr:col>
      <xdr:colOff>76200</xdr:colOff>
      <xdr:row>20</xdr:row>
      <xdr:rowOff>106680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54D0E14-6B27-477E-9B5E-2FFB72987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10</xdr:row>
      <xdr:rowOff>60960</xdr:rowOff>
    </xdr:from>
    <xdr:to>
      <xdr:col>14</xdr:col>
      <xdr:colOff>60960</xdr:colOff>
      <xdr:row>20</xdr:row>
      <xdr:rowOff>106680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D2A1DB2-215C-41E5-9019-E2C62D502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251460</xdr:colOff>
      <xdr:row>21</xdr:row>
      <xdr:rowOff>45720</xdr:rowOff>
    </xdr:from>
    <xdr:to>
      <xdr:col>14</xdr:col>
      <xdr:colOff>76200</xdr:colOff>
      <xdr:row>31</xdr:row>
      <xdr:rowOff>129540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932CE26-26A8-4047-B486-F68FC5EF1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259080</xdr:colOff>
      <xdr:row>32</xdr:row>
      <xdr:rowOff>76200</xdr:rowOff>
    </xdr:from>
    <xdr:to>
      <xdr:col>7</xdr:col>
      <xdr:colOff>228600</xdr:colOff>
      <xdr:row>44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EB23ACA-D488-4509-B16B-9C3174AD2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342900</xdr:colOff>
      <xdr:row>32</xdr:row>
      <xdr:rowOff>68580</xdr:rowOff>
    </xdr:from>
    <xdr:to>
      <xdr:col>14</xdr:col>
      <xdr:colOff>76200</xdr:colOff>
      <xdr:row>44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EEA5609-4ED9-4F11-9840-F3D4BF7A6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2</xdr:row>
      <xdr:rowOff>7620</xdr:rowOff>
    </xdr:from>
    <xdr:to>
      <xdr:col>11</xdr:col>
      <xdr:colOff>289560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E67BD-EB44-162F-21AA-0EBF4C920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7620</xdr:rowOff>
    </xdr:from>
    <xdr:to>
      <xdr:col>11</xdr:col>
      <xdr:colOff>274320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9504D-9C0E-21FF-7C3A-D61F890C3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0</xdr:row>
      <xdr:rowOff>137160</xdr:rowOff>
    </xdr:from>
    <xdr:to>
      <xdr:col>13</xdr:col>
      <xdr:colOff>548640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653A8-B492-3844-B519-93651D1E0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1</xdr:row>
      <xdr:rowOff>91440</xdr:rowOff>
    </xdr:from>
    <xdr:to>
      <xdr:col>10</xdr:col>
      <xdr:colOff>396240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ED335-0C6E-83D4-F956-681EDE25A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3</xdr:row>
      <xdr:rowOff>30480</xdr:rowOff>
    </xdr:from>
    <xdr:to>
      <xdr:col>12</xdr:col>
      <xdr:colOff>114300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7B501F-B6E1-2A89-A0EB-9DB5297D0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HIK SINGH" refreshedDate="46076.051065046297" backgroundQuery="1" createdVersion="8" refreshedVersion="8" minRefreshableVersion="3" recordCount="0" supportSubquery="1" supportAdvancedDrill="1" xr:uid="{5FE45867-211C-4B80-9BA9-7D5F3D071C79}">
  <cacheSource type="external" connectionId="1"/>
  <cacheFields count="4">
    <cacheField name="[Measures].[Sum of Revenue]" caption="Sum of Revenue" numFmtId="0" hierarchy="14" level="32767"/>
    <cacheField name="[Measures].[Sum of Expenses]" caption="Sum of Expenses" numFmtId="0" hierarchy="15" level="32767"/>
    <cacheField name="[Measures].[Sum of Profit]" caption="Sum of Profit" numFmtId="0" hierarchy="16" level="32767"/>
    <cacheField name="[Range].[Department].[Department]" caption="Department" numFmtId="0" hierarchy="7" level="1">
      <sharedItems containsSemiMixedTypes="0" containsNonDate="0" containsString="0"/>
    </cacheField>
  </cacheFields>
  <cacheHierarchies count="19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Range].[Expenses]" caption="Expenses" attribute="1" defaultMemberUniqueName="[Range].[Expenses].[All]" allUniqueName="[Range].[Expens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3"/>
      </fieldsUsage>
    </cacheHierarchy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Customer_Segment]" caption="Customer_Segment" attribute="1" defaultMemberUniqueName="[Range].[Customer_Segment].[All]" allUniqueName="[Range].[Customer_Segment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xpenses]" caption="Sum of Expens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fit]" caption="Sum of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ofit]" caption="Average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ransaction_ID]" caption="Count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HIK SINGH" refreshedDate="46076.06862604167" backgroundQuery="1" createdVersion="8" refreshedVersion="8" minRefreshableVersion="3" recordCount="0" supportSubquery="1" supportAdvancedDrill="1" xr:uid="{CB40B1C0-BB98-4FDC-ADF1-D7AA6202CC82}">
  <cacheSource type="external" connectionId="1"/>
  <cacheFields count="2">
    <cacheField name="[Range].[Department].[Department]" caption="Department" numFmtId="0" hierarchy="7" level="1">
      <sharedItems count="6">
        <s v="Finance"/>
        <s v="HR"/>
        <s v="IT"/>
        <s v="Marketing"/>
        <s v="Operations"/>
        <s v="Sales"/>
      </sharedItems>
    </cacheField>
    <cacheField name="[Measures].[Sum of Revenue]" caption="Sum of Revenue" numFmtId="0" hierarchy="14" level="32767"/>
  </cacheFields>
  <cacheHierarchies count="19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Range].[Expenses]" caption="Expenses" attribute="1" defaultMemberUniqueName="[Range].[Expenses].[All]" allUniqueName="[Range].[Expens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Customer_Segment]" caption="Customer_Segment" attribute="1" defaultMemberUniqueName="[Range].[Customer_Segment].[All]" allUniqueName="[Range].[Customer_Segment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xpenses]" caption="Sum of Expens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ofit]" caption="Average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ransaction_ID]" caption="Count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HIK SINGH" refreshedDate="46076.077945833335" backgroundQuery="1" createdVersion="8" refreshedVersion="8" minRefreshableVersion="3" recordCount="0" supportSubquery="1" supportAdvancedDrill="1" xr:uid="{0FD959A9-2B65-42FB-8C24-0E56DF8D21E8}">
  <cacheSource type="external" connectionId="1"/>
  <cacheFields count="2">
    <cacheField name="[Range].[Region].[Region]" caption="Region" numFmtId="0" hierarchy="6" level="1">
      <sharedItems count="5">
        <s v="Africa"/>
        <s v="Asia-Pacific"/>
        <s v="Europe"/>
        <s v="North America"/>
        <s v="South America"/>
      </sharedItems>
    </cacheField>
    <cacheField name="[Measures].[Sum of Profit]" caption="Sum of Profit" numFmtId="0" hierarchy="16" level="32767"/>
  </cacheFields>
  <cacheHierarchies count="19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Range].[Expenses]" caption="Expenses" attribute="1" defaultMemberUniqueName="[Range].[Expenses].[All]" allUniqueName="[Range].[Expens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Customer_Segment]" caption="Customer_Segment" attribute="1" defaultMemberUniqueName="[Range].[Customer_Segment].[All]" allUniqueName="[Range].[Customer_Segment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xpenses]" caption="Sum of Expens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ofit]" caption="Average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ransaction_ID]" caption="Count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HIK SINGH" refreshedDate="46076.091808449077" backgroundQuery="1" createdVersion="8" refreshedVersion="8" minRefreshableVersion="3" recordCount="0" supportSubquery="1" supportAdvancedDrill="1" xr:uid="{FFE9C5CA-59F5-4F5E-ABCA-55A949D5E56E}">
  <cacheSource type="external" connectionId="1"/>
  <cacheFields count="4">
    <cacheField name="[Range].[Department].[Department]" caption="Department" numFmtId="0" hierarchy="7" level="1">
      <sharedItems count="6">
        <s v="Finance"/>
        <s v="HR"/>
        <s v="IT"/>
        <s v="Marketing"/>
        <s v="Operations"/>
        <s v="Sales"/>
      </sharedItems>
    </cacheField>
    <cacheField name="[Measures].[Sum of Revenue]" caption="Sum of Revenue" numFmtId="0" hierarchy="14" level="32767"/>
    <cacheField name="[Measures].[Sum of Expenses]" caption="Sum of Expenses" numFmtId="0" hierarchy="15" level="32767"/>
    <cacheField name="[Measures].[Sum of Profit]" caption="Sum of Profit" numFmtId="0" hierarchy="16" level="32767"/>
  </cacheFields>
  <cacheHierarchies count="19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Range].[Expenses]" caption="Expenses" attribute="1" defaultMemberUniqueName="[Range].[Expenses].[All]" allUniqueName="[Range].[Expens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Customer_Segment]" caption="Customer_Segment" attribute="1" defaultMemberUniqueName="[Range].[Customer_Segment].[All]" allUniqueName="[Range].[Customer_Segment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xpenses]" caption="Sum of Expens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fit]" caption="Sum of Profit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ofit]" caption="Average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ransaction_ID]" caption="Count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HIK SINGH" refreshedDate="46076.107225462962" backgroundQuery="1" createdVersion="8" refreshedVersion="8" minRefreshableVersion="3" recordCount="0" supportSubquery="1" supportAdvancedDrill="1" xr:uid="{850B0C65-9910-45E2-BF19-8DAFC1D8E88B}">
  <cacheSource type="external" connectionId="1"/>
  <cacheFields count="2">
    <cacheField name="[Range].[Payment_Method].[Payment_Method]" caption="Payment_Method" numFmtId="0" hierarchy="10" level="1">
      <sharedItems count="4">
        <s v="Bank Transfer"/>
        <s v="Cash"/>
        <s v="Credit Card"/>
        <s v="PayPal"/>
      </sharedItems>
    </cacheField>
    <cacheField name="[Measures].[Count of Transaction_ID]" caption="Count of Transaction_ID" numFmtId="0" hierarchy="18" level="32767"/>
  </cacheFields>
  <cacheHierarchies count="19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Range].[Expenses]" caption="Expenses" attribute="1" defaultMemberUniqueName="[Range].[Expenses].[All]" allUniqueName="[Range].[Expens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Customer_Segment]" caption="Customer_Segment" attribute="1" defaultMemberUniqueName="[Range].[Customer_Segment].[All]" allUniqueName="[Range].[Customer_Segment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xpenses]" caption="Sum of Expens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ofit]" caption="Average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ransaction_ID]" caption="Count of Transaction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HIK SINGH" refreshedDate="46076.115591435184" backgroundQuery="1" createdVersion="8" refreshedVersion="8" minRefreshableVersion="3" recordCount="0" supportSubquery="1" supportAdvancedDrill="1" xr:uid="{10CA0C45-6C89-4F88-8294-0EE9B3152F31}">
  <cacheSource type="external" connectionId="1"/>
  <cacheFields count="2">
    <cacheField name="[Range].[Category].[Category]" caption="Category" numFmtId="0" hierarchy="5" level="1">
      <sharedItems count="5">
        <s v="HR"/>
        <s v="Marketing"/>
        <s v="Operations"/>
        <s v="R&amp;D"/>
        <s v="Sales"/>
      </sharedItems>
    </cacheField>
    <cacheField name="[Measures].[Sum of Expenses]" caption="Sum of Expenses" numFmtId="0" hierarchy="15" level="32767"/>
  </cacheFields>
  <cacheHierarchies count="19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Range].[Expenses]" caption="Expenses" attribute="1" defaultMemberUniqueName="[Range].[Expenses].[All]" allUniqueName="[Range].[Expens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Customer_Segment]" caption="Customer_Segment" attribute="1" defaultMemberUniqueName="[Range].[Customer_Segment].[All]" allUniqueName="[Range].[Customer_Segment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xpenses]" caption="Sum of Expens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ofit]" caption="Average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ransaction_ID]" caption="Count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F5A2E-8FC4-4ADA-867A-23C6674C8C8A}" name="PivotTable2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0" baseField="0" baseItem="0" numFmtId="168"/>
    <dataField name="Sum of Expenses" fld="1" baseField="0" baseItem="0" numFmtId="168"/>
    <dataField name="Sum of Profit" fld="2" baseField="0" baseItem="2" numFmtId="168"/>
  </dataFields>
  <formats count="4">
    <format dxfId="11">
      <pivotArea outline="0" collapsedLevelsAreSubtotals="1" fieldPosition="0"/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Department].&amp;[IT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Profit"/>
    <pivotHierarchy dragToData="1" caption="Average of Profit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L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0E07A-3EDD-4959-9DA0-B9A20464B6D1}" name="PivotTable3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" baseField="0" baseItem="0" numFmtId="165"/>
  </dataFields>
  <formats count="1">
    <format dxfId="7">
      <pivotArea outline="0" collapsedLevelsAreSubtotals="1" fieldPosition="0"/>
    </format>
  </format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L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1CC90-C6D6-40A6-9B28-F5F7D4241D22}" name="PivotTable4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" baseField="0" baseItem="0" numFmtId="165"/>
  </dataFields>
  <formats count="1">
    <format dxfId="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L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E1D7A-3D7A-449B-997F-FE88B3C18796}" name="PivotTable5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10" firstHeaderRow="0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" baseField="0" baseItem="0"/>
    <dataField name="Sum of Expenses" fld="2" baseField="0" baseItem="0"/>
    <dataField name="Sum of Profit" fld="3" baseField="0" baseItem="0"/>
  </dataFields>
  <formats count="1">
    <format dxfId="5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L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8659E-5BFE-4439-A4F2-8AA2D87C6513}" name="PivotTable6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nsaction_ID" fld="1" subtotal="count" baseField="0" baseItem="0"/>
  </dataFields>
  <chartFormats count="10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L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E025D-4E18-4588-9AF4-6E0A99BD4C11}" name="PivotTable7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penses" fld="1" baseField="0" baseItem="0" numFmtId="165"/>
  </dataFields>
  <formats count="1">
    <format dxfId="1">
      <pivotArea outline="0" collapsedLevelsAreSubtotals="1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L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5DB4-B95D-4EDC-B652-7D8374E900A7}">
  <dimension ref="A1:W3"/>
  <sheetViews>
    <sheetView showGridLines="0" tabSelected="1" zoomScale="70" zoomScaleNormal="70" workbookViewId="0">
      <selection activeCell="P38" sqref="P38"/>
    </sheetView>
  </sheetViews>
  <sheetFormatPr defaultRowHeight="14.4" x14ac:dyDescent="0.3"/>
  <sheetData>
    <row r="1" spans="1:23" ht="14.4" customHeight="1" x14ac:dyDescent="0.3">
      <c r="A1" s="11" t="s">
        <v>2040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  <c r="V1" s="10"/>
      <c r="W1" s="10"/>
    </row>
    <row r="2" spans="1:23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0"/>
      <c r="P2" s="10"/>
      <c r="Q2" s="10"/>
      <c r="R2" s="10"/>
      <c r="S2" s="10"/>
      <c r="T2" s="10"/>
      <c r="U2" s="10"/>
      <c r="V2" s="10"/>
      <c r="W2" s="10"/>
    </row>
    <row r="3" spans="1:2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  <c r="V3" s="10"/>
      <c r="W3" s="10"/>
    </row>
  </sheetData>
  <mergeCells count="1">
    <mergeCell ref="A1:N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9924-3724-4324-AE9F-F13E87C9349A}">
  <dimension ref="A3:C9"/>
  <sheetViews>
    <sheetView workbookViewId="0">
      <selection activeCell="D14" sqref="D14"/>
    </sheetView>
  </sheetViews>
  <sheetFormatPr defaultRowHeight="14.4" x14ac:dyDescent="0.3"/>
  <cols>
    <col min="1" max="1" width="14.109375" bestFit="1" customWidth="1"/>
    <col min="2" max="2" width="14.88671875" bestFit="1" customWidth="1"/>
    <col min="3" max="3" width="11.5546875" bestFit="1" customWidth="1"/>
  </cols>
  <sheetData>
    <row r="3" spans="1:3" x14ac:dyDescent="0.3">
      <c r="A3" t="s">
        <v>2039</v>
      </c>
      <c r="B3" t="s">
        <v>2038</v>
      </c>
      <c r="C3" t="s">
        <v>2037</v>
      </c>
    </row>
    <row r="4" spans="1:3" x14ac:dyDescent="0.3">
      <c r="A4" s="7">
        <v>53965575</v>
      </c>
      <c r="B4" s="7">
        <v>33472046</v>
      </c>
      <c r="C4" s="7">
        <v>20493529</v>
      </c>
    </row>
    <row r="8" spans="1:3" x14ac:dyDescent="0.3">
      <c r="A8" t="s">
        <v>2041</v>
      </c>
      <c r="B8" t="s">
        <v>2042</v>
      </c>
      <c r="C8" t="s">
        <v>2043</v>
      </c>
    </row>
    <row r="9" spans="1:3" x14ac:dyDescent="0.3">
      <c r="A9" s="7">
        <f>GETPIVOTDATA("[Measures].[Sum of Revenue]",$A$3)</f>
        <v>53965575</v>
      </c>
      <c r="B9" s="7">
        <f>GETPIVOTDATA("[Measures].[Sum of Expenses]",$A$3)</f>
        <v>33472046</v>
      </c>
      <c r="C9" s="7">
        <f>GETPIVOTDATA("[Measures].[Sum of Profit]",$A$3)</f>
        <v>20493529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7590-A82E-4F7E-A717-00FABA4F22AA}">
  <dimension ref="A3:B10"/>
  <sheetViews>
    <sheetView workbookViewId="0">
      <selection activeCell="P11" sqref="P11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8" t="s">
        <v>2044</v>
      </c>
      <c r="B3" t="s">
        <v>2039</v>
      </c>
    </row>
    <row r="4" spans="1:2" x14ac:dyDescent="0.3">
      <c r="A4" s="9" t="s">
        <v>45</v>
      </c>
      <c r="B4" s="6">
        <v>4282066</v>
      </c>
    </row>
    <row r="5" spans="1:2" x14ac:dyDescent="0.3">
      <c r="A5" s="9" t="s">
        <v>15</v>
      </c>
      <c r="B5" s="6">
        <v>5162833</v>
      </c>
    </row>
    <row r="6" spans="1:2" x14ac:dyDescent="0.3">
      <c r="A6" s="9" t="s">
        <v>21</v>
      </c>
      <c r="B6" s="6">
        <v>21751813</v>
      </c>
    </row>
    <row r="7" spans="1:2" x14ac:dyDescent="0.3">
      <c r="A7" s="9" t="s">
        <v>35</v>
      </c>
      <c r="B7" s="6">
        <v>8151306</v>
      </c>
    </row>
    <row r="8" spans="1:2" x14ac:dyDescent="0.3">
      <c r="A8" s="9" t="s">
        <v>20</v>
      </c>
      <c r="B8" s="6">
        <v>6092500</v>
      </c>
    </row>
    <row r="9" spans="1:2" x14ac:dyDescent="0.3">
      <c r="A9" s="9" t="s">
        <v>29</v>
      </c>
      <c r="B9" s="6">
        <v>8525057</v>
      </c>
    </row>
    <row r="10" spans="1:2" x14ac:dyDescent="0.3">
      <c r="A10" s="9" t="s">
        <v>2045</v>
      </c>
      <c r="B10" s="6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98DC-6BAF-44DE-92D4-970F352C2BEF}">
  <dimension ref="A3:B9"/>
  <sheetViews>
    <sheetView workbookViewId="0">
      <selection activeCell="Q11" sqref="Q11"/>
    </sheetView>
  </sheetViews>
  <sheetFormatPr defaultRowHeight="14.4" x14ac:dyDescent="0.3"/>
  <cols>
    <col min="1" max="1" width="12.6640625" bestFit="1" customWidth="1"/>
    <col min="2" max="2" width="14" bestFit="1" customWidth="1"/>
  </cols>
  <sheetData>
    <row r="3" spans="1:2" x14ac:dyDescent="0.3">
      <c r="A3" s="8" t="s">
        <v>2044</v>
      </c>
      <c r="B3" t="s">
        <v>2037</v>
      </c>
    </row>
    <row r="4" spans="1:2" x14ac:dyDescent="0.3">
      <c r="A4" s="9" t="s">
        <v>36</v>
      </c>
      <c r="B4" s="6">
        <v>8751137</v>
      </c>
    </row>
    <row r="5" spans="1:2" x14ac:dyDescent="0.3">
      <c r="A5" s="9" t="s">
        <v>40</v>
      </c>
      <c r="B5" s="6">
        <v>2357239</v>
      </c>
    </row>
    <row r="6" spans="1:2" x14ac:dyDescent="0.3">
      <c r="A6" s="9" t="s">
        <v>14</v>
      </c>
      <c r="B6" s="6">
        <v>3319282</v>
      </c>
    </row>
    <row r="7" spans="1:2" x14ac:dyDescent="0.3">
      <c r="A7" s="9" t="s">
        <v>26</v>
      </c>
      <c r="B7" s="6">
        <v>3916884</v>
      </c>
    </row>
    <row r="8" spans="1:2" x14ac:dyDescent="0.3">
      <c r="A8" s="9" t="s">
        <v>30</v>
      </c>
      <c r="B8" s="6">
        <v>2148987</v>
      </c>
    </row>
    <row r="9" spans="1:2" x14ac:dyDescent="0.3">
      <c r="A9" s="9" t="s">
        <v>2045</v>
      </c>
      <c r="B9" s="6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1240-1C51-4A7B-9E13-1909D7F332A8}">
  <dimension ref="A3:D10"/>
  <sheetViews>
    <sheetView workbookViewId="0">
      <selection activeCell="D28" sqref="D28"/>
    </sheetView>
  </sheetViews>
  <sheetFormatPr defaultRowHeight="14.4" x14ac:dyDescent="0.3"/>
  <cols>
    <col min="1" max="1" width="12.44140625" bestFit="1" customWidth="1"/>
    <col min="2" max="2" width="14.21875" bestFit="1" customWidth="1"/>
    <col min="3" max="3" width="15" bestFit="1" customWidth="1"/>
    <col min="4" max="4" width="14" bestFit="1" customWidth="1"/>
  </cols>
  <sheetData>
    <row r="3" spans="1:4" x14ac:dyDescent="0.3">
      <c r="A3" s="8" t="s">
        <v>2044</v>
      </c>
      <c r="B3" t="s">
        <v>2039</v>
      </c>
      <c r="C3" t="s">
        <v>2038</v>
      </c>
      <c r="D3" t="s">
        <v>2037</v>
      </c>
    </row>
    <row r="4" spans="1:4" x14ac:dyDescent="0.3">
      <c r="A4" s="9" t="s">
        <v>45</v>
      </c>
      <c r="B4" s="6">
        <v>4282066</v>
      </c>
      <c r="C4" s="6">
        <v>2614413</v>
      </c>
      <c r="D4" s="6">
        <v>1667653</v>
      </c>
    </row>
    <row r="5" spans="1:4" x14ac:dyDescent="0.3">
      <c r="A5" s="9" t="s">
        <v>15</v>
      </c>
      <c r="B5" s="6">
        <v>5162833</v>
      </c>
      <c r="C5" s="6">
        <v>3331496</v>
      </c>
      <c r="D5" s="6">
        <v>1831337</v>
      </c>
    </row>
    <row r="6" spans="1:4" x14ac:dyDescent="0.3">
      <c r="A6" s="9" t="s">
        <v>21</v>
      </c>
      <c r="B6" s="6">
        <v>21751813</v>
      </c>
      <c r="C6" s="6">
        <v>13599716</v>
      </c>
      <c r="D6" s="6">
        <v>8152097</v>
      </c>
    </row>
    <row r="7" spans="1:4" x14ac:dyDescent="0.3">
      <c r="A7" s="9" t="s">
        <v>35</v>
      </c>
      <c r="B7" s="6">
        <v>8151306</v>
      </c>
      <c r="C7" s="6">
        <v>4811663</v>
      </c>
      <c r="D7" s="6">
        <v>3339643</v>
      </c>
    </row>
    <row r="8" spans="1:4" x14ac:dyDescent="0.3">
      <c r="A8" s="9" t="s">
        <v>20</v>
      </c>
      <c r="B8" s="6">
        <v>6092500</v>
      </c>
      <c r="C8" s="6">
        <v>3744006</v>
      </c>
      <c r="D8" s="6">
        <v>2348494</v>
      </c>
    </row>
    <row r="9" spans="1:4" x14ac:dyDescent="0.3">
      <c r="A9" s="9" t="s">
        <v>29</v>
      </c>
      <c r="B9" s="6">
        <v>8525057</v>
      </c>
      <c r="C9" s="6">
        <v>5370752</v>
      </c>
      <c r="D9" s="6">
        <v>3154305</v>
      </c>
    </row>
    <row r="10" spans="1:4" x14ac:dyDescent="0.3">
      <c r="A10" s="9" t="s">
        <v>2045</v>
      </c>
      <c r="B10" s="6">
        <v>53965575</v>
      </c>
      <c r="C10" s="6">
        <v>33472046</v>
      </c>
      <c r="D10" s="6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29C7-A865-4FC4-801F-7DC49EE7EC43}">
  <dimension ref="A3:B8"/>
  <sheetViews>
    <sheetView workbookViewId="0">
      <selection activeCell="O15" sqref="O15"/>
    </sheetView>
  </sheetViews>
  <sheetFormatPr defaultRowHeight="14.4" x14ac:dyDescent="0.3"/>
  <cols>
    <col min="1" max="1" width="12.44140625" bestFit="1" customWidth="1"/>
    <col min="2" max="2" width="20.5546875" bestFit="1" customWidth="1"/>
  </cols>
  <sheetData>
    <row r="3" spans="1:2" x14ac:dyDescent="0.3">
      <c r="A3" s="8" t="s">
        <v>2044</v>
      </c>
      <c r="B3" t="s">
        <v>2046</v>
      </c>
    </row>
    <row r="4" spans="1:2" x14ac:dyDescent="0.3">
      <c r="A4" s="9" t="s">
        <v>24</v>
      </c>
      <c r="B4" s="5">
        <v>344</v>
      </c>
    </row>
    <row r="5" spans="1:2" x14ac:dyDescent="0.3">
      <c r="A5" s="9" t="s">
        <v>18</v>
      </c>
      <c r="B5" s="5">
        <v>845</v>
      </c>
    </row>
    <row r="6" spans="1:2" x14ac:dyDescent="0.3">
      <c r="A6" s="9" t="s">
        <v>33</v>
      </c>
      <c r="B6" s="5">
        <v>520</v>
      </c>
    </row>
    <row r="7" spans="1:2" x14ac:dyDescent="0.3">
      <c r="A7" s="9" t="s">
        <v>51</v>
      </c>
      <c r="B7" s="5">
        <v>291</v>
      </c>
    </row>
    <row r="8" spans="1:2" x14ac:dyDescent="0.3">
      <c r="A8" s="9" t="s">
        <v>2045</v>
      </c>
      <c r="B8" s="5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EF18-6A94-4598-8D7F-2002F8842D55}">
  <dimension ref="A3:B9"/>
  <sheetViews>
    <sheetView workbookViewId="0">
      <selection activeCell="O6" sqref="O6"/>
    </sheetView>
  </sheetViews>
  <sheetFormatPr defaultRowHeight="14.4" x14ac:dyDescent="0.3"/>
  <cols>
    <col min="1" max="1" width="12.44140625" bestFit="1" customWidth="1"/>
    <col min="2" max="2" width="14.88671875" bestFit="1" customWidth="1"/>
  </cols>
  <sheetData>
    <row r="3" spans="1:2" x14ac:dyDescent="0.3">
      <c r="A3" s="8" t="s">
        <v>2044</v>
      </c>
      <c r="B3" t="s">
        <v>2038</v>
      </c>
    </row>
    <row r="4" spans="1:2" x14ac:dyDescent="0.3">
      <c r="A4" s="9" t="s">
        <v>15</v>
      </c>
      <c r="B4" s="6">
        <v>3247742</v>
      </c>
    </row>
    <row r="5" spans="1:2" x14ac:dyDescent="0.3">
      <c r="A5" s="9" t="s">
        <v>35</v>
      </c>
      <c r="B5" s="6">
        <v>5417002</v>
      </c>
    </row>
    <row r="6" spans="1:2" x14ac:dyDescent="0.3">
      <c r="A6" s="9" t="s">
        <v>20</v>
      </c>
      <c r="B6" s="6">
        <v>4291785</v>
      </c>
    </row>
    <row r="7" spans="1:2" x14ac:dyDescent="0.3">
      <c r="A7" s="9" t="s">
        <v>13</v>
      </c>
      <c r="B7" s="6">
        <v>14381610</v>
      </c>
    </row>
    <row r="8" spans="1:2" x14ac:dyDescent="0.3">
      <c r="A8" s="9" t="s">
        <v>29</v>
      </c>
      <c r="B8" s="6">
        <v>6133907</v>
      </c>
    </row>
    <row r="9" spans="1:2" x14ac:dyDescent="0.3">
      <c r="A9" s="9" t="s">
        <v>2045</v>
      </c>
      <c r="B9" s="6">
        <v>33472046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893E-A83F-4457-8D2D-E510317E2FBB}">
  <dimension ref="A1:L2001"/>
  <sheetViews>
    <sheetView workbookViewId="0">
      <selection activeCell="D8" sqref="D8"/>
    </sheetView>
  </sheetViews>
  <sheetFormatPr defaultRowHeight="14.4" x14ac:dyDescent="0.3"/>
  <cols>
    <col min="1" max="1" width="12.88671875" bestFit="1" customWidth="1"/>
    <col min="2" max="2" width="17.77734375" customWidth="1"/>
    <col min="3" max="3" width="14.33203125" customWidth="1"/>
    <col min="4" max="4" width="15.109375" customWidth="1"/>
    <col min="5" max="5" width="13.44140625" style="5" customWidth="1"/>
    <col min="6" max="6" width="13.88671875" customWidth="1"/>
    <col min="7" max="7" width="13.33203125" customWidth="1"/>
    <col min="8" max="8" width="15.21875" customWidth="1"/>
    <col min="9" max="9" width="14.21875" customWidth="1"/>
    <col min="10" max="10" width="16.77734375" bestFit="1" customWidth="1"/>
    <col min="11" max="11" width="16.33203125" customWidth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 s="5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 s="5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 s="5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 s="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 s="5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 s="5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 s="5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 s="5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 s="5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 s="5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 s="5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 s="5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 s="5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 s="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 s="5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 s="5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 s="5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 s="5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 s="5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 s="5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 s="5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 s="5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 s="5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 s="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 s="5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 s="5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 s="5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 s="5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 s="5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 s="5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 s="5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 s="5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 s="5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 s="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 s="5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 s="5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 s="5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 s="5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 s="5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 s="5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 s="5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 s="5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 s="5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 s="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 s="5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 s="5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 s="5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 s="5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 s="5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 s="5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 s="5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 s="5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 s="5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 s="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 s="5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 s="5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 s="5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 s="5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 s="5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 s="5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 s="5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 s="5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 s="5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 s="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 s="5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 s="5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 s="5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 s="5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 s="5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 s="5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 s="5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 s="5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 s="5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 s="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 s="5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 s="5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 s="5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 s="5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 s="5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 s="5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 s="5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 s="5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 s="5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 s="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 s="5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 s="5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 s="5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 s="5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 s="5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 s="5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 s="5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 s="5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 s="5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 s="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 s="5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 s="5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 s="5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 s="5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 s="5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 s="5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 s="5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 s="5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 s="5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 s="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 s="5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 s="5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 s="5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 s="5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 s="5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 s="5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 s="5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 s="5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 s="5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 s="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 s="5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 s="5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 s="5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 s="5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 s="5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 s="5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 s="5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 s="5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 s="5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 s="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 s="5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 s="5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 s="5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 s="5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 s="5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 s="5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 s="5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 s="5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 s="5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 s="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 s="5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 s="5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 s="5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 s="5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 s="5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 s="5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 s="5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 s="5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 s="5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 s="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 s="5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 s="5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 s="5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 s="5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 s="5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 s="5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 s="5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 s="5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 s="5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 s="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 s="5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 s="5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 s="5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 s="5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 s="5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 s="5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 s="5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 s="5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 s="5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 s="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 s="5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 s="5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 s="5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 s="5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 s="5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 s="5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 s="5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 s="5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 s="5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 s="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 s="5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 s="5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 s="5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 s="5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 s="5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 s="5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 s="5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 s="5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 s="5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 s="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 s="5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 s="5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 s="5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 s="5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 s="5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 s="5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 s="5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 s="5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 s="5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 s="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 s="5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 s="5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 s="5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 s="5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 s="5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 s="5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 s="5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 s="5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 s="5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 s="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 s="5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 s="5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 s="5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 s="5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 s="5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 s="5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 s="5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 s="5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 s="5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 s="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 s="5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 s="5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 s="5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 s="5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 s="5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 s="5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 s="5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 s="5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 s="5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 s="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 s="5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 s="5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 s="5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 s="5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 s="5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 s="5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 s="5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 s="5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 s="5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 s="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 s="5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 s="5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 s="5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 s="5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 s="5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 s="5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 s="5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 s="5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 s="5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 s="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 s="5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 s="5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 s="5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 s="5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 s="5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 s="5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 s="5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 s="5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 s="5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 s="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 s="5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 s="5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 s="5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 s="5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 s="5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 s="5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 s="5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 s="5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 s="5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 s="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 s="5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 s="5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 s="5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 s="5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 s="5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 s="5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 s="5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 s="5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 s="5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 s="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 s="5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 s="5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 s="5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 s="5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 s="5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 s="5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 s="5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 s="5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 s="5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 s="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 s="5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 s="5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 s="5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 s="5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 s="5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 s="5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 s="5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 s="5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 s="5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 s="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 s="5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 s="5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 s="5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 s="5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 s="5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 s="5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 s="5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 s="5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 s="5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 s="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 s="5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 s="5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 s="5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 s="5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 s="5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 s="5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 s="5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 s="5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 s="5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 s="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 s="5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 s="5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 s="5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 s="5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 s="5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 s="5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 s="5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 s="5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 s="5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 s="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 s="5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 s="5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 s="5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 s="5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 s="5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 s="5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 s="5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 s="5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 s="5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 s="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 s="5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 s="5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 s="5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 s="5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 s="5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 s="5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 s="5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 s="5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 s="5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 s="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 s="5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 s="5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 s="5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 s="5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 s="5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 s="5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 s="5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 s="5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 s="5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 s="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 s="5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 s="5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 s="5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 s="5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 s="5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 s="5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 s="5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 s="5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 s="5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 s="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 s="5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 s="5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 s="5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 s="5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 s="5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 s="5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 s="5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 s="5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 s="5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 s="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 s="5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 s="5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 s="5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 s="5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 s="5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 s="5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 s="5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 s="5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 s="5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 s="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 s="5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 s="5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 s="5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 s="5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 s="5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 s="5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 s="5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 s="5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 s="5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 s="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 s="5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 s="5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 s="5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 s="5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 s="5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 s="5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 s="5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 s="5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 s="5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 s="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 s="5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 s="5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 s="5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 s="5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 s="5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 s="5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 s="5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 s="5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 s="5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 s="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 s="5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 s="5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 s="5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 s="5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 s="5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 s="5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 s="5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 s="5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 s="5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 s="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 s="5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 s="5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 s="5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 s="5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 s="5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 s="5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 s="5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 s="5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 s="5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 s="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 s="5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 s="5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 s="5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 s="5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 s="5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 s="5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 s="5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 s="5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 s="5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 s="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 s="5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 s="5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 s="5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 s="5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 s="5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 s="5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 s="5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 s="5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 s="5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 s="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 s="5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 s="5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 s="5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 s="5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 s="5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 s="5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 s="5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 s="5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 s="5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 s="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 s="5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 s="5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 s="5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 s="5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 s="5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 s="5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 s="5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 s="5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 s="5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 s="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 s="5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 s="5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 s="5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 s="5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 s="5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 s="5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 s="5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 s="5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 s="5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 s="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 s="5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 s="5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 s="5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 s="5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 s="5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 s="5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 s="5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 s="5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 s="5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 s="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 s="5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 s="5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 s="5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 s="5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 s="5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 s="5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 s="5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 s="5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 s="5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 s="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 s="5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 s="5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 s="5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 s="5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 s="5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 s="5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 s="5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 s="5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 s="5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 s="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 s="5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 s="5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 s="5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 s="5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 s="5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 s="5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 s="5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 s="5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 s="5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 s="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 s="5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 s="5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 s="5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 s="5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 s="5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 s="5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 s="5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 s="5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 s="5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 s="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 s="5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 s="5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 s="5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 s="5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 s="5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 s="5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 s="5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 s="5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 s="5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 s="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 s="5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 s="5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 s="5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 s="5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 s="5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 s="5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 s="5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 s="5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 s="5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 s="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 s="5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 s="5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 s="5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 s="5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 s="5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 s="5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 s="5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 s="5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 s="5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 s="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 s="5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 s="5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 s="5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 s="5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 s="5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 s="5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 s="5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 s="5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 s="5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 s="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 s="5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 s="5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 s="5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 s="5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 s="5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 s="5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 s="5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 s="5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 s="5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 s="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 s="5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 s="5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 s="5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 s="5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 s="5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 s="5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 s="5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 s="5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 s="5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 s="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 s="5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 s="5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 s="5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 s="5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 s="5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 s="5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 s="5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 s="5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 s="5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 s="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 s="5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 s="5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 s="5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 s="5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 s="5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 s="5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 s="5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 s="5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 s="5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 s="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 s="5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 s="5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 s="5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 s="5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 s="5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 s="5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 s="5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 s="5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 s="5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 s="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 s="5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 s="5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 s="5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 s="5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 s="5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 s="5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 s="5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 s="5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 s="5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 s="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 s="5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 s="5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 s="5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 s="5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 s="5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 s="5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 s="5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 s="5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 s="5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 s="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 s="5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 s="5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 s="5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 s="5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 s="5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 s="5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 s="5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 s="5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 s="5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 s="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 s="5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 s="5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 s="5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 s="5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 s="5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 s="5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 s="5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 s="5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 s="5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 s="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 s="5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 s="5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 s="5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 s="5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 s="5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 s="5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 s="5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 s="5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 s="5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 s="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 s="5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 s="5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 s="5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 s="5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 s="5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 s="5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 s="5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 s="5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 s="5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 s="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 s="5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 s="5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 s="5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 s="5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 s="5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 s="5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 s="5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 s="5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 s="5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 s="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 s="5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 s="5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 s="5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 s="5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 s="5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 s="5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 s="5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 s="5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 s="5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 s="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 s="5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 s="5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 s="5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 s="5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 s="5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 s="5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 s="5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 s="5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 s="5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 s="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 s="5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 s="5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 s="5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 s="5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 s="5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 s="5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 s="5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 s="5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 s="5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 s="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 s="5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 s="5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 s="5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 s="5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 s="5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 s="5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 s="5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 s="5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 s="5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 s="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 s="5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 s="5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 s="5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 s="5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 s="5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 s="5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 s="5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 s="5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 s="5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 s="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 s="5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 s="5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 s="5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 s="5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 s="5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 s="5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 s="5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 s="5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 s="5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 s="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 s="5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 s="5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 s="5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 s="5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 s="5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 s="5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 s="5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 s="5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 s="5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 s="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 s="5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 s="5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 s="5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 s="5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 s="5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 s="5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 s="5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 s="5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 s="5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 s="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 s="5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 s="5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 s="5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 s="5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 s="5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 s="5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 s="5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 s="5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 s="5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 s="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 s="5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 s="5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 s="5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 s="5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 s="5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 s="5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 s="5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 s="5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 s="5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 s="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 s="5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 s="5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 s="5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 s="5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 s="5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 s="5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 s="5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 s="5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 s="5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 s="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 s="5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 s="5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 s="5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 s="5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 s="5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 s="5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 s="5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 s="5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 s="5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 s="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 s="5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 s="5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 s="5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 s="5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 s="5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 s="5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 s="5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 s="5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 s="5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 s="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 s="5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 s="5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 s="5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 s="5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 s="5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 s="5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 s="5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 s="5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 s="5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 s="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 s="5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 s="5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 s="5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 s="5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 s="5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 s="5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 s="5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 s="5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 s="5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 s="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 s="5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 s="5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 s="5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 s="5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 s="5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 s="5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 s="5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 s="5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 s="5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 s="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 s="5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 s="5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 s="5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 s="5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 s="5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 s="5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 s="5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 s="5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 s="5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 s="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 s="5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 s="5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 s="5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 s="5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 s="5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 s="5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 s="5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 s="5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 s="5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 s="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 s="5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 s="5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 s="5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 s="5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 s="5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 s="5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 s="5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 s="5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 s="5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 s="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 s="5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 s="5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 s="5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 s="5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 s="5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 s="5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 s="5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 s="5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 s="5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 s="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 s="5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 s="5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 s="5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 s="5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 s="5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 s="5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 s="5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 s="5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 s="5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 s="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 s="5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 s="5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 s="5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 s="5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 s="5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 s="5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 s="5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 s="5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 s="5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 s="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 s="5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 s="5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 s="5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 s="5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 s="5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 s="5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 s="5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 s="5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 s="5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 s="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 s="5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 s="5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 s="5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 s="5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 s="5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 s="5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 s="5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 s="5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 s="5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 s="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 s="5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 s="5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 s="5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 s="5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 s="5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 s="5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 s="5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 s="5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 s="5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 s="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 s="5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 s="5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 s="5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 s="5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 s="5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 s="5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 s="5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 s="5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 s="5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 s="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 s="5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 s="5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 s="5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 s="5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 s="5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 s="5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 s="5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 s="5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 s="5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 s="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 s="5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 s="5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 s="5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 s="5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 s="5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 s="5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 s="5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 s="5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 s="5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 s="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 s="5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 s="5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 s="5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 s="5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 s="5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 s="5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 s="5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 s="5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 s="5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 s="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 s="5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 s="5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 s="5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 s="5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 s="5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 s="5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 s="5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 s="5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 s="5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 s="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 s="5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 s="5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 s="5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 s="5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 s="5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 s="5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 s="5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 s="5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 s="5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 s="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 s="5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 s="5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 s="5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 s="5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 s="5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 s="5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 s="5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 s="5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 s="5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 s="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 s="5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 s="5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 s="5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 s="5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 s="5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 s="5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 s="5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 s="5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 s="5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 s="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 s="5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 s="5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 s="5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 s="5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 s="5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 s="5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 s="5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 s="5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 s="5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 s="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 s="5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 s="5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 s="5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 s="5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 s="5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 s="5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 s="5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 s="5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 s="5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 s="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 s="5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 s="5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 s="5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 s="5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 s="5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 s="5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 s="5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 s="5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 s="5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 s="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 s="5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 s="5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 s="5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 s="5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 s="5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 s="5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 s="5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 s="5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 s="5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 s="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 s="5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 s="5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 s="5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 s="5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 s="5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 s="5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 s="5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 s="5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 s="5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 s="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 s="5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 s="5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 s="5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 s="5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 s="5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 s="5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 s="5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 s="5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 s="5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 s="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 s="5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 s="5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 s="5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 s="5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 s="5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 s="5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 s="5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 s="5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 s="5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 s="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 s="5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 s="5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 s="5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 s="5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 s="5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 s="5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 s="5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 s="5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 s="5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 s="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 s="5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 s="5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 s="5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 s="5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 s="5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 s="5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 s="5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 s="5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 s="5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 s="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 s="5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 s="5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 s="5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 s="5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 s="5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 s="5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 s="5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 s="5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 s="5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 s="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 s="5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 s="5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 s="5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 s="5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 s="5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 s="5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 s="5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 s="5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 s="5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 s="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 s="5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 s="5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 s="5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 s="5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 s="5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 s="5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 s="5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 s="5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 s="5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 s="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 s="5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 s="5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 s="5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 s="5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 s="5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 s="5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 s="5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 s="5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 s="5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 s="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 s="5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 s="5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 s="5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 s="5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 s="5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 s="5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 s="5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 s="5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 s="5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 s="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 s="5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 s="5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 s="5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 s="5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 s="5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 s="5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 s="5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 s="5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 s="5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 s="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 s="5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 s="5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 s="5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 s="5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 s="5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 s="5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 s="5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 s="5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 s="5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 s="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 s="5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 s="5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 s="5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 s="5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 s="5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 s="5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 s="5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 s="5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 s="5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 s="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 s="5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 s="5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 s="5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 s="5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 s="5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 s="5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 s="5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 s="5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 s="5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 s="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 s="5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 s="5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 s="5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 s="5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 s="5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 s="5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 s="5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 s="5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 s="5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 s="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 s="5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 s="5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 s="5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 s="5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 s="5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 s="5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 s="5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 s="5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 s="5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 s="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 s="5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 s="5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 s="5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 s="5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 s="5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 s="5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 s="5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 s="5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 s="5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 s="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 s="5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 s="5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 s="5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 s="5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 s="5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 s="5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 s="5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 s="5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 s="5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 s="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 s="5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 s="5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 s="5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 s="5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 s="5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 s="5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 s="5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 s="5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 s="5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 s="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 s="5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 s="5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 s="5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 s="5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 s="5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 s="5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 s="5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 s="5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 s="5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 s="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 s="5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 s="5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 s="5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 s="5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 s="5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 s="5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 s="5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 s="5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 s="5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 s="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 s="5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 s="5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 s="5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 s="5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 s="5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 s="5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 s="5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 s="5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 s="5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 s="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 s="5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 s="5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 s="5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 s="5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 s="5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 s="5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 s="5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 s="5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 s="5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 s="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 s="5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 s="5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 s="5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 s="5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 s="5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 s="5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 s="5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 s="5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 s="5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 s="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 s="5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 s="5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 s="5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 s="5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 s="5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 s="5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 s="5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 s="5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 s="5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 s="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 s="5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 s="5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 s="5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 s="5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 s="5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 s="5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 s="5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 s="5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 s="5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 s="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 s="5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 s="5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 s="5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 s="5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 s="5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 s="5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 s="5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 s="5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 s="5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 s="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 s="5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 s="5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 s="5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 s="5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 s="5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 s="5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 s="5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 s="5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 s="5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 s="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 s="5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 s="5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 s="5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 s="5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 s="5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 s="5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 s="5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 s="5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 s="5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 s="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 s="5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 s="5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 s="5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 s="5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 s="5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 s="5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 s="5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 s="5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 s="5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 s="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 s="5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 s="5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 s="5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 s="5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 s="5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 s="5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 s="5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 s="5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 s="5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 s="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 s="5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 s="5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 s="5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 s="5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 s="5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 s="5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 s="5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 s="5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 s="5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 s="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 s="5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 s="5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 s="5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 s="5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 s="5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 s="5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 s="5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 s="5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 s="5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 s="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 s="5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 s="5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 s="5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 s="5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 s="5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 s="5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 s="5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 s="5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 s="5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 s="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 s="5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 s="5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 s="5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 s="5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 s="5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 s="5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 s="5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 s="5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 s="5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 s="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 s="5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 s="5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 s="5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 s="5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 s="5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 s="5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 s="5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 s="5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 s="5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 s="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 s="5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 s="5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 s="5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 s="5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 s="5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 s="5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 s="5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 s="5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 s="5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 s="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 s="5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 s="5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 s="5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 s="5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 s="5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 s="5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 s="5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 s="5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 s="5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 s="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 s="5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 s="5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 s="5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 s="5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 s="5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 s="5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 s="5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 s="5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 s="5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 s="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 s="5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 s="5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 s="5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 s="5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 s="5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 s="5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 s="5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 s="5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 s="5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 s="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 s="5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 s="5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 s="5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 s="5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 s="5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 s="5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 s="5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 s="5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 s="5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 s="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 s="5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 s="5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 s="5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 s="5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 s="5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 s="5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 s="5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 s="5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 s="5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 s="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 s="5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 s="5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 s="5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 s="5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 s="5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 s="5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 s="5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 s="5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 s="5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 s="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 s="5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 s="5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 s="5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 s="5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 s="5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 s="5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 s="5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 s="5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 s="5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 s="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 s="5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 s="5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 s="5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 s="5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 s="5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 s="5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 s="5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 s="5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 s="5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 s="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 s="5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 s="5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 s="5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 s="5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 s="5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 s="5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 s="5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 s="5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 s="5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 s="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 s="5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 s="5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 s="5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 s="5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 s="5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 s="5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 s="5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 s="5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 s="5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 s="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 s="5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 s="5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 s="5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 s="5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 s="5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 s="5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 s="5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 s="5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 s="5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 s="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 s="5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 s="5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 s="5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 s="5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 s="5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 s="5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 s="5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 s="5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 s="5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 s="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 s="5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 s="5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 s="5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 s="5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 s="5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 s="5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 s="5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 s="5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 s="5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 s="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 s="5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 s="5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 s="5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 s="5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 s="5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 s="5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 s="5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 s="5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 s="5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 s="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 s="5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 s="5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 s="5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 s="5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 s="5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 s="5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 s="5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 s="5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 s="5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 s="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 s="5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 s="5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 s="5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 s="5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 s="5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 s="5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 s="5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 s="5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 s="5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 s="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 s="5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 s="5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 s="5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 s="5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 s="5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 s="5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 s="5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 s="5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 s="5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 s="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 s="5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 s="5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 s="5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 s="5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 s="5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 s="5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 s="5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 s="5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 s="5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 s="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 s="5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 s="5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 s="5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 s="5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 s="5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 s="5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 s="5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 s="5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 s="5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 s="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 s="5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 s="5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 s="5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 s="5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 s="5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 s="5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 s="5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 s="5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 s="5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 s="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 s="5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 s="5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 s="5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 s="5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 s="5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 s="5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 s="5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 s="5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 s="5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 s="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 s="5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 s="5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 s="5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 s="5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 s="5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 s="5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 s="5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 s="5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 s="5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 s="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 s="5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 s="5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 s="5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 s="5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 s="5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 s="5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 s="5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 s="5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 s="5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 s="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 s="5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 s="5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 s="5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 s="5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 s="5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 s="5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 s="5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 s="5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 s="5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 s="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 s="5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 s="5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 s="5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 s="5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 s="5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 s="5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 s="5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 s="5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 s="5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 s="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 s="5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 s="5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 s="5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 s="5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 s="5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 s="5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 s="5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 s="5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 s="5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 s="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 s="5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 s="5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 s="5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 s="5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 s="5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 s="5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 s="5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 s="5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 s="5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 s="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 s="5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 s="5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 s="5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 s="5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 s="5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 s="5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 s="5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 s="5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 s="5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 s="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 s="5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 s="5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 s="5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 s="5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 s="5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 s="5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 s="5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 s="5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 s="5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 s="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 s="5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 s="5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 s="5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 s="5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 s="5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 s="5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 s="5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 s="5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 s="5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 s="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 s="5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 s="5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 s="5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 s="5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 s="5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 s="5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 s="5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 s="5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 s="5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 s="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 s="5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 s="5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 s="5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 s="5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 s="5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 s="5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 s="5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 s="5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 s="5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 s="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 s="5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 s="5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 s="5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 s="5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 s="5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 s="5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 s="5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 s="5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 s="5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 s="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 s="5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 s="5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 s="5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 s="5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 s="5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 s="5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 s="5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 s="5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 s="5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 s="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 s="5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 s="5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 s="5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 s="5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 s="5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 s="5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 s="5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 s="5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 s="5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 s="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 s="5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 s="5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 s="5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 s="5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 s="5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 s="5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 s="5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 s="5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 s="5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 s="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 s="5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 s="5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 s="5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 s="5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 s="5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 s="5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 s="5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 s="5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 s="5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 s="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 s="5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 s="5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 s="5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 s="5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 s="5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 s="5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 s="5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 s="5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 s="5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 s="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 s="5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 s="5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 s="5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 s="5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 s="5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 s="5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 s="5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 s="5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 s="5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 s="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 s="5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 s="5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 s="5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 s="5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 s="5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 s="5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 s="5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 s="5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 s="5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 s="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 s="5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 s="5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 s="5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 s="5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 s="5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 s="5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 s="5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 s="5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 s="5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 s="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 s="5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 s="5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 s="5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 s="5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 s="5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 s="5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 s="5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 s="5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 s="5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 s="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 s="5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 s="5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 s="5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 s="5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 s="5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 s="5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 s="5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 s="5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 s="5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 s="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 s="5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 s="5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 s="5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 s="5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 s="5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 s="5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 s="5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 s="5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 s="5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 s="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 s="5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 s="5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 s="5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 s="5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 s="5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 s="5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 s="5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 s="5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 s="5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 s="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 s="5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 s="5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 s="5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 s="5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 s="5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 s="5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 s="5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 s="5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 s="5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 s="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 s="5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 s="5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 s="5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 s="5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 s="5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 s="5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 s="5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 s="5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 s="5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 s="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 s="5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 s="5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 s="5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 s="5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 s="5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 s="5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 s="5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 s="5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 s="5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 s="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 s="5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 s="5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 s="5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 s="5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 s="5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 s="5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 s="5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 s="5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 s="5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 s="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 s="5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 s="5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 s="5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 s="5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 s="5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 s="5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 s="5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 s="5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 s="5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 s="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 s="5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 s="5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 s="5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 s="5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 s="5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 s="5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 s="5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 s="5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 s="5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 s="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 s="5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 s="5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 s="5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 s="5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 s="5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 s="5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 s="5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 s="5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 s="5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 s="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 s="5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 s="5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 s="5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 s="5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 s="5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 s="5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 s="5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 s="5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 s="5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 s="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 s="5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 s="5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 s="5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 s="5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 s="5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 s="5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 s="5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 s="5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 s="5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 s="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 s="5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 s="5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 s="5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 s="5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 s="5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 s="5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 s="5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 s="5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 s="5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 s="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 s="5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 s="5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 s="5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 s="5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 s="5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 s="5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 s="5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 s="5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 s="5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 s="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 s="5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 s="5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 s="5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 s="5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 s="5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 s="5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KPI's</vt:lpstr>
      <vt:lpstr>Column Chart</vt:lpstr>
      <vt:lpstr>Bar Chart</vt:lpstr>
      <vt:lpstr>Line Chart</vt:lpstr>
      <vt:lpstr>Area Chart</vt:lpstr>
      <vt:lpstr>Pi Chart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2026-02-22T18:32:41Z</dcterms:created>
  <dcterms:modified xsi:type="dcterms:W3CDTF">2026-02-22T21:42:27Z</dcterms:modified>
</cp:coreProperties>
</file>