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517BE69A-55BA-42BF-BA4D-9307721F55F4}" xr6:coauthVersionLast="47" xr6:coauthVersionMax="47" xr10:uidLastSave="{00000000-0000-0000-0000-000000000000}"/>
  <bookViews>
    <workbookView xWindow="-108" yWindow="-108" windowWidth="23256" windowHeight="12456" xr2:uid="{C16FA67C-D66D-4D4C-9DF6-CB1577F78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 a="1"/>
  <c r="I3" i="1" s="1"/>
  <c r="G4" i="1"/>
  <c r="G5" i="1"/>
  <c r="G6" i="1"/>
  <c r="G7" i="1"/>
  <c r="G8" i="1"/>
  <c r="G9" i="1"/>
  <c r="G10" i="1"/>
  <c r="G11" i="1"/>
  <c r="G12" i="1"/>
  <c r="G3" i="1"/>
  <c r="E4" i="1"/>
  <c r="E5" i="1"/>
  <c r="E6" i="1"/>
  <c r="E7" i="1"/>
  <c r="E8" i="1"/>
  <c r="E9" i="1"/>
  <c r="E10" i="1"/>
  <c r="E11" i="1"/>
  <c r="E12" i="1"/>
  <c r="E3" i="1"/>
  <c r="D4" i="1"/>
  <c r="D5" i="1"/>
  <c r="D6" i="1"/>
  <c r="D7" i="1"/>
  <c r="D8" i="1"/>
  <c r="D9" i="1"/>
  <c r="D10" i="1"/>
  <c r="D11" i="1"/>
  <c r="D12" i="1"/>
  <c r="D3" i="1"/>
  <c r="C4" i="1"/>
  <c r="C5" i="1"/>
  <c r="C6" i="1"/>
  <c r="C7" i="1"/>
  <c r="C8" i="1"/>
  <c r="C9" i="1"/>
  <c r="C10" i="1"/>
  <c r="C11" i="1"/>
  <c r="C12" i="1"/>
  <c r="C3" i="1"/>
  <c r="B4" i="1"/>
  <c r="B5" i="1"/>
  <c r="B6" i="1"/>
  <c r="B7" i="1"/>
  <c r="B8" i="1"/>
  <c r="B9" i="1"/>
  <c r="B10" i="1"/>
  <c r="B11" i="1"/>
  <c r="B12" i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<sst xmlns="http://schemas.openxmlformats.org/spreadsheetml/2006/main" count="67" uniqueCount="33">
  <si>
    <t>Emp_ID</t>
  </si>
  <si>
    <t>Name</t>
  </si>
  <si>
    <t>Department</t>
  </si>
  <si>
    <t>Salary</t>
  </si>
  <si>
    <t>E101</t>
  </si>
  <si>
    <t>Rahul</t>
  </si>
  <si>
    <t>HR</t>
  </si>
  <si>
    <t>E102</t>
  </si>
  <si>
    <t>Anjali</t>
  </si>
  <si>
    <t>Finance</t>
  </si>
  <si>
    <t>E103</t>
  </si>
  <si>
    <t>Amit</t>
  </si>
  <si>
    <t>IT</t>
  </si>
  <si>
    <t>E104</t>
  </si>
  <si>
    <t>Neha</t>
  </si>
  <si>
    <t>Marketing</t>
  </si>
  <si>
    <t>E105</t>
  </si>
  <si>
    <t>Rohit</t>
  </si>
  <si>
    <t>Sales</t>
  </si>
  <si>
    <t>E106</t>
  </si>
  <si>
    <t>Pooja</t>
  </si>
  <si>
    <t>E107</t>
  </si>
  <si>
    <t>Karan</t>
  </si>
  <si>
    <t>E108</t>
  </si>
  <si>
    <t>Sneha</t>
  </si>
  <si>
    <t>E109</t>
  </si>
  <si>
    <t>Arjun</t>
  </si>
  <si>
    <t>E110</t>
  </si>
  <si>
    <t>Riya</t>
  </si>
  <si>
    <t>Table 1</t>
  </si>
  <si>
    <t>Table 2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</si>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</sst>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773B-736E-4D6E-B70F-050409EA35E4}">
  <dimension ref="A1:K27"/>
  <sheetViews>
    <sheetView tabSelected="1" workbookViewId="0">
      <selection activeCell="K3" sqref="K3"/>
    </sheetView>
  </sheetViews>
  <sheetFormatPr defaultRowHeight="14.4" x14ac:dyDescent="0.3"/>
  <cols>
    <col min="1" max="1" width="10" customWidth="1"/>
    <col min="2" max="2" width="13.109375" customWidth="1"/>
    <col min="3" max="3" width="12.6640625" customWidth="1"/>
    <col min="4" max="4" width="10.33203125" customWidth="1"/>
    <col min="10" max="10" width="13.21875" customWidth="1"/>
  </cols>
  <sheetData>
    <row r="1" spans="1:11" x14ac:dyDescent="0.3">
      <c r="A1" s="2" t="s">
        <v>29</v>
      </c>
      <c r="B1" s="3"/>
      <c r="C1" s="4" t="s">
        <v>31</v>
      </c>
      <c r="D1" s="3"/>
      <c r="H1" s="5" t="s">
        <v>32</v>
      </c>
    </row>
    <row r="2" spans="1:11" s="1" customFormat="1" x14ac:dyDescent="0.3">
      <c r="A2" s="1" t="s">
        <v>0</v>
      </c>
      <c r="B2" s="1" t="s">
        <v>2</v>
      </c>
      <c r="C2" s="1" t="s">
        <v>3</v>
      </c>
      <c r="E2" s="1" t="s">
        <v>1</v>
      </c>
      <c r="G2" s="1" t="s">
        <v>1</v>
      </c>
      <c r="I2" s="1" t="s">
        <v>1</v>
      </c>
      <c r="J2" s="1" t="s">
        <v>2</v>
      </c>
      <c r="K2" s="1" t="s">
        <v>3</v>
      </c>
    </row>
    <row r="3" spans="1:11" x14ac:dyDescent="0.3">
      <c r="A3" t="s">
        <v>4</v>
      </c>
      <c r="B3" t="str">
        <f>VLOOKUP(A3,$A$17:$D$27,3,0)</f>
        <v>HR</v>
      </c>
      <c r="C3">
        <f>VLOOKUP(A3,$A$17:$D$27,4,FALSE)</f>
        <v>35000</v>
      </c>
      <c r="D3" t="str">
        <f>VLOOKUP(A3,$E$17:$E$27,1,0)</f>
        <v>E101</v>
      </c>
      <c r="E3" s="3" t="e">
        <f>VLOOKUP(A3,$B$17:$E$27,4,0)</f>
        <v>#N/A</v>
      </c>
      <c r="G3" t="str">
        <f>_xlfn.XLOOKUP(A3,$E$17:$E$27,$B$17:$B$27,,0)</f>
        <v>Rahul</v>
      </c>
      <c r="I3" t="str" cm="1">
        <f t="array" ref="I3:K3">_xlfn.XLOOKUP(A3,$E$18:$E$27,$B$18:$D$27,,0)</f>
        <v>Rahul</v>
      </c>
      <c r="J3" t="str">
        <v>HR</v>
      </c>
      <c r="K3">
        <v>35000</v>
      </c>
    </row>
    <row r="4" spans="1:11" x14ac:dyDescent="0.3">
      <c r="A4" t="s">
        <v>7</v>
      </c>
      <c r="B4" t="str">
        <f t="shared" ref="B4:B12" si="0">VLOOKUP(A4,$A$17:$D$27,3,0)</f>
        <v>Finance</v>
      </c>
      <c r="C4">
        <f t="shared" ref="C4:C12" si="1">VLOOKUP(A4,$A$17:$D$27,4,FALSE)</f>
        <v>42000</v>
      </c>
      <c r="D4" t="str">
        <f t="shared" ref="D4:D12" si="2">VLOOKUP(A4,$E$17:$E$27,1,0)</f>
        <v>E102</v>
      </c>
      <c r="E4" s="3" t="e">
        <f t="shared" ref="E4:E12" si="3">VLOOKUP(A4,$B$17:$E$27,4,0)</f>
        <v>#N/A</v>
      </c>
      <c r="G4" t="str">
        <f t="shared" ref="G4:G12" si="4">_xlfn.XLOOKUP(A4,$E$17:$E$27,$B$17:$B$27,,0)</f>
        <v>Anjali</v>
      </c>
    </row>
    <row r="5" spans="1:11" x14ac:dyDescent="0.3">
      <c r="A5" t="s">
        <v>10</v>
      </c>
      <c r="B5" t="str">
        <f t="shared" si="0"/>
        <v>IT</v>
      </c>
      <c r="C5">
        <f t="shared" si="1"/>
        <v>55000</v>
      </c>
      <c r="D5" t="str">
        <f t="shared" si="2"/>
        <v>E103</v>
      </c>
      <c r="E5" s="3" t="e">
        <f t="shared" si="3"/>
        <v>#N/A</v>
      </c>
      <c r="G5" t="str">
        <f t="shared" si="4"/>
        <v>Amit</v>
      </c>
    </row>
    <row r="6" spans="1:11" x14ac:dyDescent="0.3">
      <c r="A6" t="s">
        <v>13</v>
      </c>
      <c r="B6" t="str">
        <f t="shared" si="0"/>
        <v>Marketing</v>
      </c>
      <c r="C6">
        <f t="shared" si="1"/>
        <v>40000</v>
      </c>
      <c r="D6" t="str">
        <f t="shared" si="2"/>
        <v>E104</v>
      </c>
      <c r="E6" s="3" t="e">
        <f t="shared" si="3"/>
        <v>#N/A</v>
      </c>
      <c r="G6" t="str">
        <f t="shared" si="4"/>
        <v>Neha</v>
      </c>
    </row>
    <row r="7" spans="1:11" x14ac:dyDescent="0.3">
      <c r="A7" t="s">
        <v>16</v>
      </c>
      <c r="B7" t="str">
        <f t="shared" si="0"/>
        <v>Sales</v>
      </c>
      <c r="C7">
        <f t="shared" si="1"/>
        <v>38000</v>
      </c>
      <c r="D7" t="str">
        <f t="shared" si="2"/>
        <v>E105</v>
      </c>
      <c r="E7" s="3" t="e">
        <f t="shared" si="3"/>
        <v>#N/A</v>
      </c>
      <c r="G7" t="str">
        <f t="shared" si="4"/>
        <v>Rohit</v>
      </c>
    </row>
    <row r="8" spans="1:11" x14ac:dyDescent="0.3">
      <c r="A8" t="s">
        <v>19</v>
      </c>
      <c r="B8" t="str">
        <f t="shared" si="0"/>
        <v>IT</v>
      </c>
      <c r="C8">
        <f t="shared" si="1"/>
        <v>60000</v>
      </c>
      <c r="D8" t="str">
        <f t="shared" si="2"/>
        <v>E106</v>
      </c>
      <c r="E8" s="3" t="e">
        <f t="shared" si="3"/>
        <v>#N/A</v>
      </c>
      <c r="G8" t="str">
        <f t="shared" si="4"/>
        <v>Pooja</v>
      </c>
    </row>
    <row r="9" spans="1:11" x14ac:dyDescent="0.3">
      <c r="A9" t="s">
        <v>21</v>
      </c>
      <c r="B9" t="str">
        <f t="shared" si="0"/>
        <v>Finance</v>
      </c>
      <c r="C9">
        <f t="shared" si="1"/>
        <v>45000</v>
      </c>
      <c r="D9" t="str">
        <f t="shared" si="2"/>
        <v>E107</v>
      </c>
      <c r="E9" s="3" t="e">
        <f t="shared" si="3"/>
        <v>#N/A</v>
      </c>
      <c r="G9" t="str">
        <f t="shared" si="4"/>
        <v>Karan</v>
      </c>
    </row>
    <row r="10" spans="1:11" x14ac:dyDescent="0.3">
      <c r="A10" t="s">
        <v>23</v>
      </c>
      <c r="B10" t="str">
        <f t="shared" si="0"/>
        <v>HR</v>
      </c>
      <c r="C10">
        <f t="shared" si="1"/>
        <v>37000</v>
      </c>
      <c r="D10" t="str">
        <f t="shared" si="2"/>
        <v>E108</v>
      </c>
      <c r="E10" s="3" t="e">
        <f t="shared" si="3"/>
        <v>#N/A</v>
      </c>
      <c r="G10" t="str">
        <f t="shared" si="4"/>
        <v>Sneha</v>
      </c>
    </row>
    <row r="11" spans="1:11" x14ac:dyDescent="0.3">
      <c r="A11" t="s">
        <v>25</v>
      </c>
      <c r="B11" t="str">
        <f t="shared" si="0"/>
        <v>Sales</v>
      </c>
      <c r="C11">
        <f t="shared" si="1"/>
        <v>41000</v>
      </c>
      <c r="D11" t="str">
        <f t="shared" si="2"/>
        <v>E109</v>
      </c>
      <c r="E11" s="3" t="e">
        <f t="shared" si="3"/>
        <v>#N/A</v>
      </c>
      <c r="G11" t="str">
        <f t="shared" si="4"/>
        <v>Arjun</v>
      </c>
    </row>
    <row r="12" spans="1:11" x14ac:dyDescent="0.3">
      <c r="A12" t="s">
        <v>27</v>
      </c>
      <c r="B12" t="str">
        <f t="shared" si="0"/>
        <v>Marketing</v>
      </c>
      <c r="C12">
        <f t="shared" si="1"/>
        <v>39000</v>
      </c>
      <c r="D12" t="str">
        <f t="shared" si="2"/>
        <v>E110</v>
      </c>
      <c r="E12" s="3" t="e">
        <f t="shared" si="3"/>
        <v>#N/A</v>
      </c>
      <c r="G12" t="str">
        <f t="shared" si="4"/>
        <v>Riya</v>
      </c>
    </row>
    <row r="16" spans="1:11" x14ac:dyDescent="0.3">
      <c r="A16" s="2" t="s">
        <v>30</v>
      </c>
    </row>
    <row r="17" spans="1:5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0</v>
      </c>
    </row>
    <row r="18" spans="1:5" x14ac:dyDescent="0.3">
      <c r="A18" t="s">
        <v>4</v>
      </c>
      <c r="B18" t="s">
        <v>5</v>
      </c>
      <c r="C18" t="s">
        <v>6</v>
      </c>
      <c r="D18">
        <v>35000</v>
      </c>
      <c r="E18" t="s">
        <v>4</v>
      </c>
    </row>
    <row r="19" spans="1:5" x14ac:dyDescent="0.3">
      <c r="A19" t="s">
        <v>7</v>
      </c>
      <c r="B19" t="s">
        <v>8</v>
      </c>
      <c r="C19" t="s">
        <v>9</v>
      </c>
      <c r="D19">
        <v>42000</v>
      </c>
      <c r="E19" t="s">
        <v>7</v>
      </c>
    </row>
    <row r="20" spans="1:5" x14ac:dyDescent="0.3">
      <c r="A20" t="s">
        <v>10</v>
      </c>
      <c r="B20" t="s">
        <v>11</v>
      </c>
      <c r="C20" t="s">
        <v>12</v>
      </c>
      <c r="D20">
        <v>55000</v>
      </c>
      <c r="E20" t="s">
        <v>10</v>
      </c>
    </row>
    <row r="21" spans="1:5" x14ac:dyDescent="0.3">
      <c r="A21" t="s">
        <v>13</v>
      </c>
      <c r="B21" t="s">
        <v>14</v>
      </c>
      <c r="C21" t="s">
        <v>15</v>
      </c>
      <c r="D21">
        <v>40000</v>
      </c>
      <c r="E21" t="s">
        <v>13</v>
      </c>
    </row>
    <row r="22" spans="1:5" x14ac:dyDescent="0.3">
      <c r="A22" t="s">
        <v>16</v>
      </c>
      <c r="B22" t="s">
        <v>17</v>
      </c>
      <c r="C22" t="s">
        <v>18</v>
      </c>
      <c r="D22">
        <v>38000</v>
      </c>
      <c r="E22" t="s">
        <v>16</v>
      </c>
    </row>
    <row r="23" spans="1:5" x14ac:dyDescent="0.3">
      <c r="A23" t="s">
        <v>19</v>
      </c>
      <c r="B23" t="s">
        <v>20</v>
      </c>
      <c r="C23" t="s">
        <v>12</v>
      </c>
      <c r="D23">
        <v>60000</v>
      </c>
      <c r="E23" t="s">
        <v>19</v>
      </c>
    </row>
    <row r="24" spans="1:5" x14ac:dyDescent="0.3">
      <c r="A24" t="s">
        <v>21</v>
      </c>
      <c r="B24" t="s">
        <v>22</v>
      </c>
      <c r="C24" t="s">
        <v>9</v>
      </c>
      <c r="D24">
        <v>45000</v>
      </c>
      <c r="E24" t="s">
        <v>21</v>
      </c>
    </row>
    <row r="25" spans="1:5" x14ac:dyDescent="0.3">
      <c r="A25" t="s">
        <v>23</v>
      </c>
      <c r="B25" t="s">
        <v>24</v>
      </c>
      <c r="C25" t="s">
        <v>6</v>
      </c>
      <c r="D25">
        <v>37000</v>
      </c>
      <c r="E25" t="s">
        <v>23</v>
      </c>
    </row>
    <row r="26" spans="1:5" x14ac:dyDescent="0.3">
      <c r="A26" t="s">
        <v>25</v>
      </c>
      <c r="B26" t="s">
        <v>26</v>
      </c>
      <c r="C26" t="s">
        <v>18</v>
      </c>
      <c r="D26">
        <v>41000</v>
      </c>
      <c r="E26" t="s">
        <v>25</v>
      </c>
    </row>
    <row r="27" spans="1:5" x14ac:dyDescent="0.3">
      <c r="A27" t="s">
        <v>27</v>
      </c>
      <c r="B27" t="s">
        <v>28</v>
      </c>
      <c r="C27" t="s">
        <v>15</v>
      </c>
      <c r="D27">
        <v>39000</v>
      </c>
      <c r="E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2026-01-12T16:14:55Z</dcterms:created>
  <dcterms:modified xsi:type="dcterms:W3CDTF">2026-01-12T17:44:33Z</dcterms:modified>
</cp:coreProperties>
</file>