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ystXpert Channel\Upload Content\"/>
    </mc:Choice>
  </mc:AlternateContent>
  <xr:revisionPtr revIDLastSave="0" documentId="13_ncr:1_{D9874926-2BA2-4299-843F-2C072AD2AFA4}" xr6:coauthVersionLast="47" xr6:coauthVersionMax="47" xr10:uidLastSave="{00000000-0000-0000-0000-000000000000}"/>
  <bookViews>
    <workbookView xWindow="-108" yWindow="-108" windowWidth="23256" windowHeight="12456" xr2:uid="{7992D815-67EE-492B-962B-18152E49D9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7" i="1" l="1"/>
  <c r="S11" i="1"/>
  <c r="Q3" i="1"/>
  <c r="Q7" i="1"/>
  <c r="Q11" i="1"/>
  <c r="P3" i="1"/>
  <c r="R3" i="1" s="1"/>
  <c r="P4" i="1"/>
  <c r="Q4" i="1" s="1"/>
  <c r="P5" i="1"/>
  <c r="Q5" i="1" s="1"/>
  <c r="P6" i="1"/>
  <c r="R6" i="1" s="1"/>
  <c r="P7" i="1"/>
  <c r="R7" i="1" s="1"/>
  <c r="P8" i="1"/>
  <c r="Q8" i="1" s="1"/>
  <c r="P9" i="1"/>
  <c r="Q9" i="1" s="1"/>
  <c r="P10" i="1"/>
  <c r="R10" i="1" s="1"/>
  <c r="P11" i="1"/>
  <c r="R11" i="1" s="1"/>
  <c r="P2" i="1"/>
  <c r="Q2" i="1" s="1"/>
  <c r="O3" i="1"/>
  <c r="O6" i="1"/>
  <c r="O7" i="1"/>
  <c r="O10" i="1"/>
  <c r="O11" i="1"/>
  <c r="N3" i="1"/>
  <c r="S3" i="1" s="1"/>
  <c r="N4" i="1"/>
  <c r="S4" i="1" s="1"/>
  <c r="N5" i="1"/>
  <c r="O5" i="1" s="1"/>
  <c r="N6" i="1"/>
  <c r="S6" i="1" s="1"/>
  <c r="N7" i="1"/>
  <c r="N8" i="1"/>
  <c r="S8" i="1" s="1"/>
  <c r="N9" i="1"/>
  <c r="S9" i="1" s="1"/>
  <c r="N10" i="1"/>
  <c r="S10" i="1" s="1"/>
  <c r="N11" i="1"/>
  <c r="N2" i="1"/>
  <c r="S2" i="1" s="1"/>
  <c r="M2" i="1"/>
  <c r="L2" i="1"/>
  <c r="K2" i="1"/>
  <c r="J2" i="1"/>
  <c r="I2" i="1"/>
  <c r="H2" i="1"/>
  <c r="G2" i="1"/>
  <c r="R9" i="1" l="1"/>
  <c r="R5" i="1"/>
  <c r="Q10" i="1"/>
  <c r="Q6" i="1"/>
  <c r="R2" i="1"/>
  <c r="R8" i="1"/>
  <c r="R4" i="1"/>
  <c r="S5" i="1"/>
  <c r="O9" i="1"/>
  <c r="O2" i="1"/>
  <c r="O8" i="1"/>
  <c r="O4" i="1"/>
</calcChain>
</file>

<file path=xl/sharedStrings.xml><?xml version="1.0" encoding="utf-8"?>
<sst xmlns="http://schemas.openxmlformats.org/spreadsheetml/2006/main" count="59" uniqueCount="43">
  <si>
    <t>Emp ID</t>
  </si>
  <si>
    <t>Name</t>
  </si>
  <si>
    <t>Department</t>
  </si>
  <si>
    <t>Age</t>
  </si>
  <si>
    <t>E101</t>
  </si>
  <si>
    <t>Amit Sharma</t>
  </si>
  <si>
    <t>Sales</t>
  </si>
  <si>
    <t>E102</t>
  </si>
  <si>
    <t>Neha Verma</t>
  </si>
  <si>
    <t>HR</t>
  </si>
  <si>
    <t>E103</t>
  </si>
  <si>
    <t>Rahul Singh</t>
  </si>
  <si>
    <t>IT</t>
  </si>
  <si>
    <t>E104</t>
  </si>
  <si>
    <t>Pooja Mehta</t>
  </si>
  <si>
    <t>Finance</t>
  </si>
  <si>
    <t>E105</t>
  </si>
  <si>
    <t>Rohit Kumar</t>
  </si>
  <si>
    <t>E106</t>
  </si>
  <si>
    <t>Anjali Jain</t>
  </si>
  <si>
    <t>E107</t>
  </si>
  <si>
    <t>Vikram Rao</t>
  </si>
  <si>
    <t>E108</t>
  </si>
  <si>
    <t>Sneha Patel</t>
  </si>
  <si>
    <t>E109</t>
  </si>
  <si>
    <t>Karan Gupta</t>
  </si>
  <si>
    <t>E110</t>
  </si>
  <si>
    <t>Ritu Malhotra</t>
  </si>
  <si>
    <t>Sum</t>
  </si>
  <si>
    <t>Average</t>
  </si>
  <si>
    <t>Count</t>
  </si>
  <si>
    <t>Counta</t>
  </si>
  <si>
    <t>Countblank</t>
  </si>
  <si>
    <t>Max</t>
  </si>
  <si>
    <t>Min</t>
  </si>
  <si>
    <t>Sqrt</t>
  </si>
  <si>
    <t>Power</t>
  </si>
  <si>
    <t>Upper</t>
  </si>
  <si>
    <t>Lower</t>
  </si>
  <si>
    <t>Mid</t>
  </si>
  <si>
    <t>Salary</t>
  </si>
  <si>
    <t>Mid 2</t>
  </si>
  <si>
    <t>Functions 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</si>
</sst>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44590-6912-42F4-B6C7-49FC033A6548}">
  <dimension ref="A1:S27"/>
  <sheetViews>
    <sheetView tabSelected="1" workbookViewId="0">
      <selection activeCell="T7" sqref="T7"/>
    </sheetView>
  </sheetViews>
  <sheetFormatPr defaultRowHeight="14.4" x14ac:dyDescent="0.3"/>
  <cols>
    <col min="2" max="2" width="11.5546875" bestFit="1" customWidth="1"/>
    <col min="3" max="3" width="10.5546875" bestFit="1" customWidth="1"/>
    <col min="4" max="4" width="6.6640625" customWidth="1"/>
    <col min="11" max="11" width="10.5546875" bestFit="1" customWidth="1"/>
    <col min="16" max="16" width="14.33203125" bestFit="1" customWidth="1"/>
    <col min="17" max="17" width="11" bestFit="1" customWidth="1"/>
  </cols>
  <sheetData>
    <row r="1" spans="1:1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40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41</v>
      </c>
    </row>
    <row r="2" spans="1:19" x14ac:dyDescent="0.3">
      <c r="A2" t="s">
        <v>4</v>
      </c>
      <c r="B2" t="s">
        <v>5</v>
      </c>
      <c r="C2" t="s">
        <v>6</v>
      </c>
      <c r="D2">
        <v>25</v>
      </c>
      <c r="E2">
        <v>30000</v>
      </c>
      <c r="G2">
        <f>SUM(E2:E11)</f>
        <v>412000</v>
      </c>
      <c r="H2">
        <f>AVERAGE(E2:E11)</f>
        <v>41200</v>
      </c>
      <c r="I2">
        <f>COUNT(D2:D11)</f>
        <v>10</v>
      </c>
      <c r="J2">
        <f>COUNTA(B2:B11)</f>
        <v>10</v>
      </c>
      <c r="K2">
        <f>COUNTBLANK(C2:C11)</f>
        <v>2</v>
      </c>
      <c r="L2">
        <f>MAX(E2:E11)</f>
        <v>55000</v>
      </c>
      <c r="M2">
        <f>MIN(E2:E11)</f>
        <v>28000</v>
      </c>
      <c r="N2">
        <f>SQRT(D2)</f>
        <v>5</v>
      </c>
      <c r="O2">
        <f>POWER(N2,2)</f>
        <v>25</v>
      </c>
      <c r="P2" t="str">
        <f>UPPER(B2)</f>
        <v>AMIT SHARMA</v>
      </c>
      <c r="Q2" t="str">
        <f>LOWER(P2)</f>
        <v>amit sharma</v>
      </c>
      <c r="R2" t="str">
        <f>MID(P2,1,4)</f>
        <v>AMIT</v>
      </c>
      <c r="S2" t="str">
        <f>MID(N2,2,2)</f>
        <v/>
      </c>
    </row>
    <row r="3" spans="1:19" x14ac:dyDescent="0.3">
      <c r="A3" t="s">
        <v>7</v>
      </c>
      <c r="B3" t="s">
        <v>8</v>
      </c>
      <c r="D3">
        <v>28</v>
      </c>
      <c r="E3">
        <v>35000</v>
      </c>
      <c r="N3">
        <f t="shared" ref="N3:N11" si="0">SQRT(D3)</f>
        <v>5.2915026221291814</v>
      </c>
      <c r="O3">
        <f t="shared" ref="O3:O11" si="1">POWER(N3,2)</f>
        <v>28.000000000000004</v>
      </c>
      <c r="P3" t="str">
        <f t="shared" ref="P3:P11" si="2">UPPER(B3)</f>
        <v>NEHA VERMA</v>
      </c>
      <c r="Q3" t="str">
        <f t="shared" ref="Q3:Q11" si="3">LOWER(P3)</f>
        <v>neha verma</v>
      </c>
      <c r="R3" t="str">
        <f t="shared" ref="R3:R11" si="4">MID(P3,1,4)</f>
        <v>NEHA</v>
      </c>
      <c r="S3" t="str">
        <f t="shared" ref="S3:S11" si="5">MID(N3,2,2)</f>
        <v>.2</v>
      </c>
    </row>
    <row r="4" spans="1:19" x14ac:dyDescent="0.3">
      <c r="A4" t="s">
        <v>10</v>
      </c>
      <c r="B4" t="s">
        <v>11</v>
      </c>
      <c r="C4" t="s">
        <v>12</v>
      </c>
      <c r="D4">
        <v>32</v>
      </c>
      <c r="E4">
        <v>50000</v>
      </c>
      <c r="N4">
        <f t="shared" si="0"/>
        <v>5.6568542494923806</v>
      </c>
      <c r="O4">
        <f t="shared" si="1"/>
        <v>32.000000000000007</v>
      </c>
      <c r="P4" t="str">
        <f t="shared" si="2"/>
        <v>RAHUL SINGH</v>
      </c>
      <c r="Q4" t="str">
        <f t="shared" si="3"/>
        <v>rahul singh</v>
      </c>
      <c r="R4" t="str">
        <f t="shared" si="4"/>
        <v>RAHU</v>
      </c>
      <c r="S4" t="str">
        <f t="shared" si="5"/>
        <v>.6</v>
      </c>
    </row>
    <row r="5" spans="1:19" x14ac:dyDescent="0.3">
      <c r="A5" t="s">
        <v>13</v>
      </c>
      <c r="B5" t="s">
        <v>14</v>
      </c>
      <c r="C5" t="s">
        <v>15</v>
      </c>
      <c r="D5">
        <v>49</v>
      </c>
      <c r="E5">
        <v>42000</v>
      </c>
      <c r="N5">
        <f t="shared" si="0"/>
        <v>7</v>
      </c>
      <c r="O5">
        <f t="shared" si="1"/>
        <v>49</v>
      </c>
      <c r="P5" t="str">
        <f t="shared" si="2"/>
        <v>POOJA MEHTA</v>
      </c>
      <c r="Q5" t="str">
        <f t="shared" si="3"/>
        <v>pooja mehta</v>
      </c>
      <c r="R5" t="str">
        <f t="shared" si="4"/>
        <v>POOJ</v>
      </c>
      <c r="S5" t="str">
        <f t="shared" si="5"/>
        <v/>
      </c>
    </row>
    <row r="6" spans="1:19" x14ac:dyDescent="0.3">
      <c r="A6" t="s">
        <v>16</v>
      </c>
      <c r="B6" t="s">
        <v>17</v>
      </c>
      <c r="D6">
        <v>35</v>
      </c>
      <c r="E6">
        <v>55000</v>
      </c>
      <c r="N6">
        <f t="shared" si="0"/>
        <v>5.9160797830996161</v>
      </c>
      <c r="O6">
        <f t="shared" si="1"/>
        <v>35</v>
      </c>
      <c r="P6" t="str">
        <f t="shared" si="2"/>
        <v>ROHIT KUMAR</v>
      </c>
      <c r="Q6" t="str">
        <f t="shared" si="3"/>
        <v>rohit kumar</v>
      </c>
      <c r="R6" t="str">
        <f t="shared" si="4"/>
        <v>ROHI</v>
      </c>
      <c r="S6" t="str">
        <f t="shared" si="5"/>
        <v>.9</v>
      </c>
    </row>
    <row r="7" spans="1:19" x14ac:dyDescent="0.3">
      <c r="A7" t="s">
        <v>18</v>
      </c>
      <c r="B7" t="s">
        <v>19</v>
      </c>
      <c r="C7" t="s">
        <v>9</v>
      </c>
      <c r="D7">
        <v>26</v>
      </c>
      <c r="E7">
        <v>32000</v>
      </c>
      <c r="N7">
        <f t="shared" si="0"/>
        <v>5.0990195135927845</v>
      </c>
      <c r="O7">
        <f t="shared" si="1"/>
        <v>25.999999999999996</v>
      </c>
      <c r="P7" t="str">
        <f t="shared" si="2"/>
        <v>ANJALI JAIN</v>
      </c>
      <c r="Q7" t="str">
        <f t="shared" si="3"/>
        <v>anjali jain</v>
      </c>
      <c r="R7" t="str">
        <f t="shared" si="4"/>
        <v>ANJA</v>
      </c>
      <c r="S7" t="str">
        <f t="shared" si="5"/>
        <v>.0</v>
      </c>
    </row>
    <row r="8" spans="1:19" x14ac:dyDescent="0.3">
      <c r="A8" t="s">
        <v>20</v>
      </c>
      <c r="B8" t="s">
        <v>21</v>
      </c>
      <c r="C8" t="s">
        <v>12</v>
      </c>
      <c r="D8">
        <v>30</v>
      </c>
      <c r="E8">
        <v>48000</v>
      </c>
      <c r="N8">
        <f t="shared" si="0"/>
        <v>5.4772255750516612</v>
      </c>
      <c r="O8">
        <f t="shared" si="1"/>
        <v>30</v>
      </c>
      <c r="P8" t="str">
        <f t="shared" si="2"/>
        <v>VIKRAM RAO</v>
      </c>
      <c r="Q8" t="str">
        <f t="shared" si="3"/>
        <v>vikram rao</v>
      </c>
      <c r="R8" t="str">
        <f t="shared" si="4"/>
        <v>VIKR</v>
      </c>
      <c r="S8" t="str">
        <f t="shared" si="5"/>
        <v>.4</v>
      </c>
    </row>
    <row r="9" spans="1:19" x14ac:dyDescent="0.3">
      <c r="A9" t="s">
        <v>22</v>
      </c>
      <c r="B9" t="s">
        <v>23</v>
      </c>
      <c r="C9" t="s">
        <v>15</v>
      </c>
      <c r="D9">
        <v>27</v>
      </c>
      <c r="E9">
        <v>40000</v>
      </c>
      <c r="N9">
        <f t="shared" si="0"/>
        <v>5.196152422706632</v>
      </c>
      <c r="O9">
        <f t="shared" si="1"/>
        <v>27</v>
      </c>
      <c r="P9" t="str">
        <f t="shared" si="2"/>
        <v>SNEHA PATEL</v>
      </c>
      <c r="Q9" t="str">
        <f t="shared" si="3"/>
        <v>sneha patel</v>
      </c>
      <c r="R9" t="str">
        <f t="shared" si="4"/>
        <v>SNEH</v>
      </c>
      <c r="S9" t="str">
        <f t="shared" si="5"/>
        <v>.1</v>
      </c>
    </row>
    <row r="10" spans="1:19" x14ac:dyDescent="0.3">
      <c r="A10" t="s">
        <v>24</v>
      </c>
      <c r="B10" t="s">
        <v>25</v>
      </c>
      <c r="C10" t="s">
        <v>6</v>
      </c>
      <c r="D10">
        <v>34</v>
      </c>
      <c r="E10">
        <v>52000</v>
      </c>
      <c r="N10">
        <f t="shared" si="0"/>
        <v>5.8309518948453007</v>
      </c>
      <c r="O10">
        <f t="shared" si="1"/>
        <v>34</v>
      </c>
      <c r="P10" t="str">
        <f t="shared" si="2"/>
        <v>KARAN GUPTA</v>
      </c>
      <c r="Q10" t="str">
        <f t="shared" si="3"/>
        <v>karan gupta</v>
      </c>
      <c r="R10" t="str">
        <f t="shared" si="4"/>
        <v>KARA</v>
      </c>
      <c r="S10" t="str">
        <f t="shared" si="5"/>
        <v>.8</v>
      </c>
    </row>
    <row r="11" spans="1:19" x14ac:dyDescent="0.3">
      <c r="A11" t="s">
        <v>26</v>
      </c>
      <c r="B11" t="s">
        <v>27</v>
      </c>
      <c r="C11" t="s">
        <v>12</v>
      </c>
      <c r="D11">
        <v>36</v>
      </c>
      <c r="E11">
        <v>28000</v>
      </c>
      <c r="N11">
        <f t="shared" si="0"/>
        <v>6</v>
      </c>
      <c r="O11">
        <f t="shared" si="1"/>
        <v>36</v>
      </c>
      <c r="P11" t="str">
        <f t="shared" si="2"/>
        <v>RITU MALHOTRA</v>
      </c>
      <c r="Q11" t="str">
        <f t="shared" si="3"/>
        <v>ritu malhotra</v>
      </c>
      <c r="R11" t="str">
        <f t="shared" si="4"/>
        <v>RITU</v>
      </c>
      <c r="S11" t="str">
        <f t="shared" si="5"/>
        <v/>
      </c>
    </row>
    <row r="15" spans="1:19" x14ac:dyDescent="0.3">
      <c r="B15" s="1" t="s">
        <v>42</v>
      </c>
    </row>
    <row r="16" spans="1:19" x14ac:dyDescent="0.3">
      <c r="B16" t="s">
        <v>28</v>
      </c>
    </row>
    <row r="17" spans="2:2" x14ac:dyDescent="0.3">
      <c r="B17" t="s">
        <v>29</v>
      </c>
    </row>
    <row r="18" spans="2:2" x14ac:dyDescent="0.3">
      <c r="B18" t="s">
        <v>30</v>
      </c>
    </row>
    <row r="19" spans="2:2" x14ac:dyDescent="0.3">
      <c r="B19" t="s">
        <v>31</v>
      </c>
    </row>
    <row r="20" spans="2:2" x14ac:dyDescent="0.3">
      <c r="B20" t="s">
        <v>32</v>
      </c>
    </row>
    <row r="21" spans="2:2" x14ac:dyDescent="0.3">
      <c r="B21" t="s">
        <v>33</v>
      </c>
    </row>
    <row r="22" spans="2:2" x14ac:dyDescent="0.3">
      <c r="B22" t="s">
        <v>34</v>
      </c>
    </row>
    <row r="23" spans="2:2" x14ac:dyDescent="0.3">
      <c r="B23" t="s">
        <v>35</v>
      </c>
    </row>
    <row r="24" spans="2:2" x14ac:dyDescent="0.3">
      <c r="B24" t="s">
        <v>36</v>
      </c>
    </row>
    <row r="25" spans="2:2" x14ac:dyDescent="0.3">
      <c r="B25" t="s">
        <v>37</v>
      </c>
    </row>
    <row r="26" spans="2:2" x14ac:dyDescent="0.3">
      <c r="B26" t="s">
        <v>38</v>
      </c>
    </row>
    <row r="27" spans="2:2" x14ac:dyDescent="0.3">
      <c r="B2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Prabal raj</dc:creator>
  <cp:lastModifiedBy>Prabal raj</cp:lastModifiedBy>
  <dcterms:created xsi:type="dcterms:W3CDTF">2026-01-03T14:19:54Z</dcterms:created>
  <dcterms:modified xsi:type="dcterms:W3CDTF">2026-01-03T14:57:44Z</dcterms:modified>
</cp:coreProperties>
</file>